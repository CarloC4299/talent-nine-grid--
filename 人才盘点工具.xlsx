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员工信息" sheetId="2" r:id="rId4"/>
    <sheet name="年度绩效" sheetId="3" r:id="rId5"/>
    <sheet name="潜力评估" sheetId="4" r:id="rId6"/>
    <sheet name="九宫格汇总" sheetId="5" r:id="rId7"/>
    <sheet name="人才池" sheetId="6" r:id="rId8"/>
  </sheets>
  <calcPr calcId="0" fullCalcOnLoad="1"/>
</workbook>
</file>

<file path=xl/sharedStrings.xml><?xml version="1.0" encoding="utf-8"?>
<sst xmlns="http://schemas.openxmlformats.org/spreadsheetml/2006/main" count="82" uniqueCount="82">
  <si>
    <t>说明</t>
  </si>
  <!-- index 0 -->
  <si>
    <t>本工具用于仁承物流陆运事业部年度人才盘点，采用绩效×潜力九宫格模型。</t>
  </si>
  <!-- index 1 -->
  <si>
    <t>使用说明</t>
  </si>
  <!-- index 2 -->
  <si>
    <t>步骤一：在员工信息sheet填写所有参与盘点人员的基本信息。</t>
  </si>
  <!-- index 3 -->
  <si>
    <t>步骤二：在年度绩效sheet录入每位员工本年的综合绩效得分（1-5分制，来自季度绩效汇总）。</t>
  </si>
  <!-- index 4 -->
  <si>
    <t>步骤三：在潜力评估sheet由部门负责人、HR、老板三人分别对Q1/Q2/Q3三个问题打分（1-5分），系统自动取平均。</t>
  </si>
  <!-- index 5 -->
  <si>
    <t>步骤四：自动生成九宫格汇总sheet中的绩效等级和潜力等级，系统自动定位九宫格位置。</t>
  </si>
  <!-- index 6 -->
  <si>
    <t>步骤五：在人才池sheet查看四类人才池分类结果及对应发展建议。</t>
  </si>
  <!-- index 7 -->
  <si>
    <t>步骤六：HR汇总盘点结果后，组织部门负责人、老板召开人才盘点会议，最终确认人员归属。</t>
  </si>
  <!-- index 8 -->
  <si>
    <t>人才池说明</t>
  </si>
  <!-- index 9 -->
  <si>
    <t>核心保留池：九宫格右上角，高绩效×高潜力。处理策略：重点激励、给予更大平台、优先考虑晋升。</t>
  </si>
  <!-- index 10 -->
  <si>
    <t>骨干稳定池：中间区域，高/中绩效×中潜力。处理策略：保持激励、参与重要项目、维持团队稳定。</t>
  </si>
  <!-- index 11 -->
  <si>
    <t>加速培养池：左侧中间，中绩效×高潜力。处理策略：指定导师重点培养、给予挑战性任务、半年内跟进。</t>
  </si>
  <!-- index 12 -->
  <si>
    <t>优化调整池：下方区域，中/低绩效×中/低潜力。处理策略：PIP或换岗辅导，或自然流失后不再补充。</t>
  </si>
  <!-- index 13 -->
  <si>
    <t>潜力评估标准（1-5分制，每题三人打分取平均）</t>
  </si>
  <!-- index 14 -->
  <si>
    <t>Q1 学习速度：该员工接受新业务、新系统的速度如何？</t>
  </si>
  <!-- index 15 -->
  <si>
    <t>Q2 主动性：遇到问题是主动解决还是等指令？</t>
  </si>
  <!-- index 16 -->
  <si>
    <t>Q3 适应性：换了场景或要求后，能否快速调整适应？</t>
  </si>
  <!-- index 17 -->
  <si>
    <t>1分</t>
  </si>
  <!-- index 18 -->
  <si>
    <t>需要反复指导，仍难以独立操作；学习意愿低，经常出错</t>
  </si>
  <!-- index 19 -->
  <si>
    <t>完全等待指令，从不主动汇报或提出建议；需要持续督促</t>
  </si>
  <!-- index 20 -->
  <si>
    <t>完全抗拒变化，遇到新情况容易慌乱或逃避</t>
  </si>
  <!-- index 21 -->
  <si>
    <t>2分</t>
  </si>
  <!-- index 22 -->
  <si>
    <t>需要较多指导才能上手；学习速度慢，容易遗忘</t>
  </si>
  <!-- index 23 -->
  <si>
    <t>偶尔主动，但大部分时间等上级安排；需要明确指令才行动</t>
  </si>
  <!-- index 24 -->
  <si>
    <t>变化时需要较长时间适应，容易回到原有习惯</t>
  </si>
  <!-- index 25 -->
  <si>
    <t>3分</t>
  </si>
  <!-- index 26 -->
  <si>
    <t>正常学习，能在指导下掌握新内容；学习速度一般</t>
  </si>
  <!-- index 27 -->
  <si>
    <t>在明确任务时能主动完成；偶有汇报意识，但需要上级提醒</t>
  </si>
  <!-- index 28 -->
  <si>
    <t>能在指导下适应变化，但需要一定时间过渡</t>
  </si>
  <!-- index 29 -->
  <si>
    <t>4分</t>
  </si>
  <!-- index 30 -->
  <si>
    <t>学得快，能快速理解并运用；偶尔能给团队带来启发</t>
  </si>
  <!-- index 31 -->
  <si>
    <t>经常主动发现并解决问题；汇报及时，无需督促</t>
  </si>
  <!-- index 32 -->
  <si>
    <t>能较快调整状态应对变化，适应性良好</t>
  </si>
  <!-- index 33 -->
  <si>
    <t>5分</t>
  </si>
  <!-- index 34 -->
  <si>
    <t>学得极快，主动钻研超出岗位要求的知识；是团队中的学习标杆</t>
  </si>
  <!-- index 35 -->
  <si>
    <t>始终积极主动，是团队中推动改进的发动机；不用督促</t>
  </si>
  <!-- index 36 -->
  <si>
    <t>变化越大越兴奋，能快速成为新情况的标杆</t>
  </si>
  <!-- index 37 -->
  <si>
    <t>员工信息</t>
  </si>
  <!-- index 38 -->
  <si>
    <t>姓名</t>
  </si>
  <!-- index 39 -->
  <si>
    <t>岗位</t>
  </si>
  <!-- index 40 -->
  <si>
    <t>操作</t>
  </si>
  <!-- index 41 -->
  <si>
    <t>配载</t>
  </si>
  <!-- index 42 -->
  <si>
    <t>费用录入</t>
  </si>
  <!-- index 43 -->
  <si>
    <t>主管</t>
  </si>
  <!-- index 44 -->
  <si>
    <t>职级</t>
  </si>
  <!-- index 45 -->
  <si>
    <t>专员</t>
  </si>
  <!-- index 46 -->
  <si>
    <t>备注</t>
  </si>
  <!-- index 47 -->
  <si>
    <t>（请按实际情况填写，主管不参与本次盘点可不填）</t>
  </si>
  <!-- index 48 -->
  <si>
    <t>年度绩效</t>
  </si>
  <!-- index 49 -->
  <si>
    <t>年度综合绩效得分（1-5分制）</t>
  </si>
  <!-- index 50 -->
  <si>
    <t>综合绩效得分说明（5分制）：</t>
  </si>
  <!-- index 51 -->
  <si>
    <t>5分：持续超越目标，在团队中始终领先；工作质量高且稳定</t>
  </si>
  <!-- index 52 -->
  <si>
    <t>4分：超出预期目标，较好完成各项任务；主动性较强</t>
  </si>
  <!-- index 53 -->
  <si>
    <t>3分：符合岗位基本要求，能达到预期目标；工作表现稳定</t>
  </si>
  <!-- index 54 -->
  <si>
    <t>2分：部分目标未达成，工作质量或主动性有待提升</t>
  </si>
  <!-- index 55 -->
  <si>
    <t>1分：多数目标未达成，存在明显能力或态度问题</t>
  </si>
  <!-- index 56 -->
  <si>
    <t>潜力评估</t>
  </si>
  <!-- index 57 -->
  <si>
    <t>请在以下三个问题维度上打分（1-5分制）：</t>
  </si>
  <!-- index 58 -->
  <si>
    <t>Q1 学习速度</t>
  </si>
  <!-- index 59 -->
  <si>
    <t>Q2 主动性</t>
  </si>
  <!-- index 60 -->
  <si>
    <t>Q3 适应性</t>
  </si>
  <!-- index 61 -->
  <si>
    <t>潜力均分</t>
  </si>
  <!-- index 62 -->
  <si>
    <t>潜力等级</t>
  </si>
  <!-- index 63 -->
  <si>
    <t>部门负责人</t>
  </si>
  <!-- index 64 -->
  <si>
    <t>HR（你）</t>
  </si>
  <!-- index 65 -->
  <si>
    <t>老板</t>
  </si>
  <!-- index 66 -->
  <si>
    <t>九宫格汇总</t>
  </si>
  <!-- index 67 -->
  <si>
    <t>绩效等级</t>
  </si>
  <!-- index 68 -->
  <si>
    <t>九宫格位置</t>
  </si>
  <!-- index 69 -->
  <si>
    <t>人才池</t>
  </si>
  <!-- index 70 -->
  <si>
    <t>高（绩效前33%）</t>
  </si>
  <!-- index 71 -->
  <si>
    <t>中（绩效中间34%）</t>
  </si>
  <!-- index 72 -->
  <si>
    <t>低（绩效后33%）</t>
  </si>
  <!-- index 73 -->
  <si>
    <t>高（均分≥4.0）</t>
  </si>
  <!-- index 74 -->
  <si>
    <t>中（均分2.0-3.9）</t>
  </si>
  <!-- index 75 -->
  <si>
    <t>低（均分&lt;2.0）</t>
  </si>
  <!-- index 76 -->
  <si>
    <t>人才池归属</t>
  </si>
  <!-- index 77 -->
  <si>
    <t>发展建议</t>
  </si>
  <!-- index 78 -->
  <si>
    <t>汇总统计</t>
  </si>
  <!-- index 79 -->
  <si>
    <t>九宫格各格人数</t>
  </si>
  <!-- index 80 -->
  <si>
    <t>各人才池人数</t>
  </si>
  <!-- index 81 --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</sst>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  <Relationship Id="rId4"
    Type="http://schemas.openxmlformats.org/officeDocument/2006/relationships/worksheet"
    Target="worksheets/sheet2.xml"/>
  <Relationship Id="rId5"
    Type="http://schemas.openxmlformats.org/officeDocument/2006/relationships/worksheet"
    Target="worksheets/sheet3.xml"/>
  <Relationship Id="rId6"
    Type="http://schemas.openxmlformats.org/officeDocument/2006/relationships/worksheet"
    Target="worksheets/sheet4.xml"/>
  <Relationship Id="rId7"
    Type="http://schemas.openxmlformats.org/officeDocument/2006/relationships/worksheet"
    Target="worksheets/sheet5.xml"/>
  <Relationship Id="rId8"
    Type="http://schemas.openxmlformats.org/officeDocument/2006/relationships/worksheet"
    Target="worksheets/sheet6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3" customWidth="1"/>
    <col min="2" max="2" width="65" customWidth="1"/>
  </cols>
  <sheetData>
    <row r="1">
      <c r="B1" t="s" s="4">
        <v>0</v>
      </c>
    </row>
    <row r="2">
      <c r="A2" t="s" s="0">
        <v>1</v>
      </c>
    </row>
    <row r="3">
      <c r="B3" t="s" s="4">
        <v>2</v>
      </c>
    </row>
    <row r="4">
      <c r="B4" t="s" s="0">
        <v>3</v>
      </c>
    </row>
    <row r="5">
      <c r="B5" t="s" s="0">
        <v>4</v>
      </c>
    </row>
    <row r="6">
      <c r="B6" t="s" s="0">
        <v>5</v>
      </c>
    </row>
    <row r="7">
      <c r="B7" t="s" s="0">
        <v>6</v>
      </c>
    </row>
    <row r="8">
      <c r="B8" t="s" s="0">
        <v>7</v>
      </c>
    </row>
    <row r="9">
      <c r="B9" t="s" s="0">
        <v>8</v>
      </c>
    </row>
    <row r="10">
      <c r="B10" t="s" s="4">
        <v>9</v>
      </c>
    </row>
    <row r="11">
      <c r="B11" t="s" s="0">
        <v>10</v>
      </c>
    </row>
    <row r="12">
      <c r="B12" t="s" s="0">
        <v>11</v>
      </c>
    </row>
    <row r="13">
      <c r="B13" t="s" s="0">
        <v>12</v>
      </c>
    </row>
    <row r="14">
      <c r="B14" t="s" s="0">
        <v>13</v>
      </c>
    </row>
    <row r="15">
      <c r="B15" t="s" s="4">
        <v>14</v>
      </c>
    </row>
    <row r="16">
      <c r="B16" t="s" s="0">
        <v>15</v>
      </c>
    </row>
    <row r="17">
      <c r="B17" t="s" s="0">
        <v>16</v>
      </c>
    </row>
    <row r="18">
      <c r="B18" t="s" s="0">
        <v>17</v>
      </c>
    </row>
    <row r="19">
      <c r="A19" t="s" s="4">
        <v>19</v>
      </c>
      <c r="B19" t="s" s="0">
        <v>19</v>
      </c>
    </row>
    <row r="20">
      <c r="B20" t="s" s="0">
        <v>20</v>
      </c>
    </row>
    <row r="21">
      <c r="B21" t="s" s="0">
        <v>21</v>
      </c>
    </row>
    <row r="22">
      <c r="A22" t="s" s="4">
        <v>22</v>
      </c>
      <c r="B22" t="s" s="0">
        <v>23</v>
      </c>
    </row>
    <row r="23">
      <c r="B23" t="s" s="0">
        <v>24</v>
      </c>
    </row>
    <row r="24">
      <c r="B24" t="s" s="0">
        <v>25</v>
      </c>
    </row>
    <row r="25">
      <c r="A25" t="s" s="4">
        <v>25</v>
      </c>
      <c r="B25" t="s" s="0">
        <v>27</v>
      </c>
    </row>
    <row r="26">
      <c r="B26" t="s" s="0">
        <v>28</v>
      </c>
    </row>
    <row r="27">
      <c r="B27" t="s" s="0">
        <v>29</v>
      </c>
    </row>
    <row r="28">
      <c r="A28" t="s" s="4">
        <v>28</v>
      </c>
      <c r="B28" t="s" s="0">
        <v>31</v>
      </c>
    </row>
    <row r="29">
      <c r="B29" t="s" s="0">
        <v>32</v>
      </c>
    </row>
    <row r="30">
      <c r="B30" t="s" s="0">
        <v>33</v>
      </c>
    </row>
    <row r="31">
      <c r="A31" t="s" s="4">
        <v>31</v>
      </c>
      <c r="B31" t="s" s="0">
        <v>35</v>
      </c>
    </row>
    <row r="32">
      <c r="B32" t="s" s="0">
        <v>36</v>
      </c>
    </row>
    <row r="33">
      <c r="B33" t="s" s="0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4" customWidth="1"/>
    <col min="2" max="2" width="14" customWidth="1"/>
    <col min="3" max="3" width="10" customWidth="1"/>
    <col min="4" max="4" width="26" customWidth="1"/>
  </cols>
  <sheetData>
    <row r="1">
      <c r="A1" t="s" s="4">
        <v>38</v>
      </c>
    </row>
    <row r="2">
      <c r="A2" t="s" s="4">
        <v>39</v>
      </c>
      <c r="B2" t="s" s="4">
        <v>40</v>
      </c>
      <c r="C2" t="s" s="4">
        <v>42</v>
      </c>
      <c r="D2" t="s" s="4">
        <v>45</v>
      </c>
    </row>
    <row r="3">
      <c r="A3" t="s" s="0">
        <v>41</v>
      </c>
    </row>
    <row r="4">
      <c r="A4" t="s" s="1">
        <v>39</v>
      </c>
      <c r="B4" t="s" s="1">
        <v>40</v>
      </c>
      <c r="C4" t="s" s="1">
        <v>42</v>
      </c>
      <c r="D4" t="s" s="1">
        <v>45</v>
      </c>
    </row>
    <row r="5">
      <c r="A5" t="s" s="1">
        <v>39</v>
      </c>
      <c r="B5" t="s" s="1">
        <v>40</v>
      </c>
      <c r="C5" t="s" s="1">
        <v>42</v>
      </c>
      <c r="D5" t="s" s="1">
        <v>45</v>
      </c>
    </row>
    <row r="6">
      <c r="A6" t="s" s="1">
        <v>39</v>
      </c>
      <c r="B6" t="s" s="1">
        <v>40</v>
      </c>
      <c r="C6" t="s" s="1">
        <v>42</v>
      </c>
      <c r="D6" t="s" s="1">
        <v>45</v>
      </c>
    </row>
    <row r="7">
      <c r="A7" t="s" s="1">
        <v>39</v>
      </c>
      <c r="B7" t="s" s="1">
        <v>40</v>
      </c>
      <c r="C7" t="s" s="1">
        <v>42</v>
      </c>
      <c r="D7" t="s" s="1">
        <v>45</v>
      </c>
    </row>
    <row r="8">
      <c r="A8" t="s" s="1">
        <v>39</v>
      </c>
      <c r="B8" t="s" s="1">
        <v>40</v>
      </c>
      <c r="C8" t="s" s="1">
        <v>42</v>
      </c>
      <c r="D8" t="s" s="1">
        <v>45</v>
      </c>
    </row>
    <row r="9">
      <c r="A9" t="s" s="1">
        <v>39</v>
      </c>
      <c r="B9" t="s" s="1">
        <v>40</v>
      </c>
      <c r="C9" t="s" s="1">
        <v>42</v>
      </c>
      <c r="D9" t="s" s="1">
        <v>45</v>
      </c>
    </row>
    <row r="10">
      <c r="A10" t="s" s="1">
        <v>39</v>
      </c>
      <c r="B10" t="s" s="1">
        <v>40</v>
      </c>
      <c r="C10" t="s" s="1">
        <v>42</v>
      </c>
      <c r="D10" t="s" s="1">
        <v>45</v>
      </c>
    </row>
    <row r="11">
      <c r="A11" t="s" s="1">
        <v>39</v>
      </c>
      <c r="B11" t="s" s="1">
        <v>40</v>
      </c>
      <c r="C11" t="s" s="1">
        <v>42</v>
      </c>
      <c r="D11" t="s" s="1">
        <v>45</v>
      </c>
    </row>
    <row r="12">
      <c r="A12" t="s" s="1">
        <v>39</v>
      </c>
      <c r="B12" t="s" s="1">
        <v>40</v>
      </c>
      <c r="C12" t="s" s="1">
        <v>42</v>
      </c>
      <c r="D12" t="s" s="1">
        <v>45</v>
      </c>
    </row>
    <row r="13">
      <c r="A13" t="s" s="1">
        <v>39</v>
      </c>
      <c r="B13" t="s" s="1">
        <v>40</v>
      </c>
      <c r="C13" t="s" s="1">
        <v>42</v>
      </c>
      <c r="D13" t="s" s="1">
        <v>45</v>
      </c>
    </row>
    <row r="14">
      <c r="A14" t="s" s="1">
        <v>39</v>
      </c>
      <c r="B14" t="s" s="1">
        <v>40</v>
      </c>
      <c r="C14" t="s" s="1">
        <v>42</v>
      </c>
      <c r="D14" t="s" s="1">
        <v>45</v>
      </c>
    </row>
    <row r="15">
      <c r="A15" t="s" s="1">
        <v>39</v>
      </c>
      <c r="B15" t="s" s="1">
        <v>40</v>
      </c>
      <c r="C15" t="s" s="1">
        <v>42</v>
      </c>
      <c r="D15" t="s" s="1">
        <v>45</v>
      </c>
    </row>
    <row r="16">
      <c r="A16" t="s" s="1">
        <v>39</v>
      </c>
      <c r="B16" t="s" s="1">
        <v>40</v>
      </c>
      <c r="C16" t="s" s="1">
        <v>42</v>
      </c>
      <c r="D16" t="s" s="1">
        <v>45</v>
      </c>
    </row>
    <row r="17">
      <c r="A17" t="s" s="1">
        <v>39</v>
      </c>
      <c r="B17" t="s" s="1">
        <v>40</v>
      </c>
      <c r="C17" t="s" s="1">
        <v>42</v>
      </c>
      <c r="D17" t="s" s="1">
        <v>45</v>
      </c>
    </row>
    <row r="18">
      <c r="A18" t="s" s="1">
        <v>39</v>
      </c>
      <c r="B18" t="s" s="1">
        <v>40</v>
      </c>
      <c r="C18" t="s" s="1">
        <v>42</v>
      </c>
      <c r="D18" t="s" s="1">
        <v>45</v>
      </c>
    </row>
    <row r="19">
      <c r="A19" t="s" s="1">
        <v>39</v>
      </c>
      <c r="B19" t="s" s="1">
        <v>40</v>
      </c>
      <c r="C19" t="s" s="1">
        <v>42</v>
      </c>
      <c r="D19" t="s" s="1">
        <v>45</v>
      </c>
    </row>
    <row r="20">
      <c r="A20" t="s" s="1">
        <v>39</v>
      </c>
      <c r="B20" t="s" s="1">
        <v>40</v>
      </c>
      <c r="C20" t="s" s="1">
        <v>42</v>
      </c>
      <c r="D20" t="s" s="1">
        <v>45</v>
      </c>
    </row>
    <row r="21">
      <c r="A21" t="s" s="1">
        <v>39</v>
      </c>
      <c r="B21" t="s" s="1">
        <v>40</v>
      </c>
      <c r="C21" t="s" s="1">
        <v>42</v>
      </c>
      <c r="D21" t="s" s="1">
        <v>45</v>
      </c>
    </row>
    <row r="22">
      <c r="A22" t="s" s="1">
        <v>39</v>
      </c>
      <c r="B22" t="s" s="1">
        <v>40</v>
      </c>
      <c r="C22" t="s" s="1">
        <v>42</v>
      </c>
      <c r="D22" t="s" s="1">
        <v>45</v>
      </c>
    </row>
    <row r="23">
      <c r="A23" t="s" s="1">
        <v>39</v>
      </c>
      <c r="B23" t="s" s="1">
        <v>40</v>
      </c>
      <c r="C23" t="s" s="1">
        <v>42</v>
      </c>
      <c r="D23" t="s" s="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4" customWidth="1"/>
    <col min="2" max="2" width="12" customWidth="1"/>
    <col min="3" max="3" width="10" customWidth="1"/>
    <col min="4" max="4" width="14" customWidth="1"/>
  </cols>
  <sheetData>
    <row r="1">
      <c r="A1" t="s" s="4">
        <v>46</v>
      </c>
    </row>
    <row r="2">
      <c r="A2" t="s" s="4">
        <v>39</v>
      </c>
      <c r="B2" t="s" s="4">
        <v>40</v>
      </c>
      <c r="C2" t="s" s="4">
        <v>42</v>
      </c>
      <c r="D2" t="s" s="4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</row>
    <row r="10">
      <c r="A10" s="3">
        <f>员工信息!A4</f>
        <v/>
      </c>
      <c r="B10" s="3">
        <f>员工信息!B4</f>
        <v/>
      </c>
      <c r="C10" s="3">
        <f>员工信息!C4</f>
        <v/>
      </c>
      <c r="D10" s="1">
        <v/>
      </c>
    </row>
    <row r="11">
      <c r="A11" s="3">
        <f>员工信息!A5</f>
        <v/>
      </c>
      <c r="B11" s="3">
        <f>员工信息!B5</f>
        <v/>
      </c>
      <c r="C11" s="3">
        <f>员工信息!C5</f>
        <v/>
      </c>
      <c r="D11" s="1">
        <v/>
      </c>
    </row>
    <row r="12">
      <c r="A12" s="3">
        <f>员工信息!A6</f>
        <v/>
      </c>
      <c r="B12" s="3">
        <f>员工信息!B6</f>
        <v/>
      </c>
      <c r="C12" s="3">
        <f>员工信息!C6</f>
        <v/>
      </c>
      <c r="D12" s="1">
        <v/>
      </c>
    </row>
    <row r="13">
      <c r="A13" s="3">
        <f>员工信息!A7</f>
        <v/>
      </c>
      <c r="B13" s="3">
        <f>员工信息!B7</f>
        <v/>
      </c>
      <c r="C13" s="3">
        <f>员工信息!C7</f>
        <v/>
      </c>
      <c r="D13" s="1">
        <v/>
      </c>
    </row>
    <row r="14">
      <c r="A14" s="3">
        <f>员工信息!A8</f>
        <v/>
      </c>
      <c r="B14" s="3">
        <f>员工信息!B8</f>
        <v/>
      </c>
      <c r="C14" s="3">
        <f>员工信息!C8</f>
        <v/>
      </c>
      <c r="D14" s="1">
        <v/>
      </c>
    </row>
    <row r="15">
      <c r="A15" s="3">
        <f>员工信息!A9</f>
        <v/>
      </c>
      <c r="B15" s="3">
        <f>员工信息!B9</f>
        <v/>
      </c>
      <c r="C15" s="3">
        <f>员工信息!C9</f>
        <v/>
      </c>
      <c r="D15" s="1">
        <v/>
      </c>
    </row>
    <row r="16">
      <c r="A16" s="3">
        <f>员工信息!A10</f>
        <v/>
      </c>
      <c r="B16" s="3">
        <f>员工信息!B10</f>
        <v/>
      </c>
      <c r="C16" s="3">
        <f>员工信息!C10</f>
        <v/>
      </c>
      <c r="D16" s="1">
        <v/>
      </c>
    </row>
    <row r="17">
      <c r="A17" s="3">
        <f>员工信息!A11</f>
        <v/>
      </c>
      <c r="B17" s="3">
        <f>员工信息!B11</f>
        <v/>
      </c>
      <c r="C17" s="3">
        <f>员工信息!C11</f>
        <v/>
      </c>
      <c r="D17" s="1">
        <v/>
      </c>
    </row>
    <row r="18">
      <c r="A18" s="3">
        <f>员工信息!A12</f>
        <v/>
      </c>
      <c r="B18" s="3">
        <f>员工信息!B12</f>
        <v/>
      </c>
      <c r="C18" s="3">
        <f>员工信息!C12</f>
        <v/>
      </c>
      <c r="D18" s="1">
        <v/>
      </c>
    </row>
    <row r="19">
      <c r="A19" s="3">
        <f>员工信息!A13</f>
        <v/>
      </c>
      <c r="B19" s="3">
        <f>员工信息!B13</f>
        <v/>
      </c>
      <c r="C19" s="3">
        <f>员工信息!C13</f>
        <v/>
      </c>
      <c r="D19" s="1">
        <v/>
      </c>
    </row>
    <row r="20">
      <c r="A20" s="3">
        <f>员工信息!A14</f>
        <v/>
      </c>
      <c r="B20" s="3">
        <f>员工信息!B14</f>
        <v/>
      </c>
      <c r="C20" s="3">
        <f>员工信息!C14</f>
        <v/>
      </c>
      <c r="D20" s="1">
        <v/>
      </c>
    </row>
    <row r="21">
      <c r="A21" s="3">
        <f>员工信息!A15</f>
        <v/>
      </c>
      <c r="B21" s="3">
        <f>员工信息!B15</f>
        <v/>
      </c>
      <c r="C21" s="3">
        <f>员工信息!C15</f>
        <v/>
      </c>
      <c r="D21" s="1">
        <v/>
      </c>
    </row>
    <row r="22">
      <c r="A22" s="3">
        <f>员工信息!A16</f>
        <v/>
      </c>
      <c r="B22" s="3">
        <f>员工信息!B16</f>
        <v/>
      </c>
      <c r="C22" s="3">
        <f>员工信息!C16</f>
        <v/>
      </c>
      <c r="D22" s="1">
        <v/>
      </c>
    </row>
    <row r="23">
      <c r="A23" s="3">
        <f>员工信息!A17</f>
        <v/>
      </c>
      <c r="B23" s="3">
        <f>员工信息!B17</f>
        <v/>
      </c>
      <c r="C23" s="3">
        <f>员工信息!C17</f>
        <v/>
      </c>
      <c r="D23" s="1">
        <v/>
      </c>
    </row>
    <row r="24">
      <c r="A24" s="3">
        <f>员工信息!A18</f>
        <v/>
      </c>
      <c r="B24" s="3">
        <f>员工信息!B18</f>
        <v/>
      </c>
      <c r="C24" s="3">
        <f>员工信息!C18</f>
        <v/>
      </c>
      <c r="D24" s="1">
        <v/>
      </c>
    </row>
    <row r="25">
      <c r="A25" s="3">
        <f>员工信息!A19</f>
        <v/>
      </c>
      <c r="B25" s="3">
        <f>员工信息!B19</f>
        <v/>
      </c>
      <c r="C25" s="3">
        <f>员工信息!C19</f>
        <v/>
      </c>
      <c r="D25" s="1">
        <v/>
      </c>
    </row>
    <row r="26">
      <c r="A26" s="3">
        <f>员工信息!A20</f>
        <v/>
      </c>
      <c r="B26" s="3">
        <f>员工信息!B20</f>
        <v/>
      </c>
      <c r="C26" s="3">
        <f>员工信息!C20</f>
        <v/>
      </c>
      <c r="D26" s="1">
        <v/>
      </c>
    </row>
    <row r="27">
      <c r="A27" s="3">
        <f>员工信息!A21</f>
        <v/>
      </c>
      <c r="B27" s="3">
        <f>员工信息!B21</f>
        <v/>
      </c>
      <c r="C27" s="3">
        <f>员工信息!C21</f>
        <v/>
      </c>
      <c r="D27" s="1">
        <v/>
      </c>
    </row>
    <row r="28">
      <c r="A28" s="3">
        <f>员工信息!A22</f>
        <v/>
      </c>
      <c r="B28" s="3">
        <f>员工信息!B22</f>
        <v/>
      </c>
      <c r="C28" s="3">
        <f>员工信息!C22</f>
        <v/>
      </c>
      <c r="D28" s="1">
        <v/>
      </c>
    </row>
    <row r="29">
      <c r="A29" s="3">
        <f>员工信息!A23</f>
        <v/>
      </c>
      <c r="B29" s="3">
        <f>员工信息!B23</f>
        <v/>
      </c>
      <c r="C29" s="3">
        <f>员工信息!C23</f>
        <v/>
      </c>
      <c r="D29" s="1"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2" customWidth="1"/>
    <col min="2" max="3" width="10" customWidth="1"/>
    <col min="4" max="6" width="10" customWidth="1"/>
    <col min="7" max="9" width="10" customWidth="1"/>
    <col min="10" max="12" width="10" customWidth="1"/>
    <col min="13" max="13" width="9" customWidth="1"/>
    <col min="14" max="14" width="9" customWidth="1"/>
    <col min="15" max="15" width="9" customWidth="1"/>
    <col min="16" max="16" width="9" customWidth="1"/>
    <col min="17" max="17" width="20" customWidth="1"/>
  </cols>
  <sheetData>
    <row r="1">
      <c r="A1" t="s" s="4">
        <v>54</v>
      </c>
    </row>
    <row r="2">
      <c r="A2" t="s" s="0">
        <v>55</v>
      </c>
    </row>
    <row r="3">
      <c r="A3" t="s" s="4">
        <v>39</v>
      </c>
      <c r="B3" t="s" s="4">
        <v>40</v>
      </c>
      <c r="C3" t="s" s="4">
        <v>42</v>
      </c>
      <c r="D3" t="s" s="4">
        <v>61</v>
      </c>
      <c r="E3" t="s" s="4">
        <v>62</v>
      </c>
      <c r="F3" t="s" s="4">
        <v>63</v>
      </c>
      <c r="G3" t="s" s="4">
        <v>61</v>
      </c>
      <c r="H3" t="s" s="4">
        <v>62</v>
      </c>
      <c r="I3" t="s" s="4">
        <v>63</v>
      </c>
      <c r="J3" t="s" s="4">
        <v>61</v>
      </c>
      <c r="K3" t="s" s="4">
        <v>62</v>
      </c>
      <c r="L3" t="s" s="4">
        <v>63</v>
      </c>
      <c r="M3" t="s" s="4">
        <v>59</v>
      </c>
      <c r="N3" t="s" s="4">
        <v>59</v>
      </c>
      <c r="O3" t="s" s="4">
        <v>59</v>
      </c>
      <c r="P3" t="s" s="4">
        <v>59</v>
      </c>
      <c r="Q3" t="s" s="4">
        <v>60</v>
      </c>
    </row>
    <row r="4">
      <c r="D4" t="s" s="0">
        <v>56</v>
      </c>
      <c r="G4" t="s" s="0">
        <v>57</v>
      </c>
      <c r="J4" t="s" s="0">
        <v>58</v>
      </c>
    </row>
    <row r="5">
      <c r="A5" s="3">
        <f>员工信息!A4</f>
        <v/>
      </c>
      <c r="B5" s="3">
        <f>员工信息!B4</f>
        <v/>
      </c>
      <c r="C5" s="3">
        <f>员工信息!C4</f>
        <v/>
      </c>
      <c r="D5" s="1">
        <v/>
      </c>
      <c r="E5" s="1">
        <v/>
      </c>
      <c r="F5" s="1">
        <v/>
      </c>
      <c r="G5" s="1">
        <v/>
      </c>
      <c r="H5" s="1">
        <v/>
      </c>
      <c r="I5" s="1">
        <v/>
      </c>
      <c r="J5" s="1">
        <v/>
      </c>
      <c r="K5" s="1">
        <v/>
      </c>
      <c r="L5" s="1">
        <v/>
      </c>
      <c r="M5" s="2">
        <f>AVERAGE(D5:F5)</f>
        <v/>
      </c>
      <c r="N5" s="2">
        <f>AVERAGE(G5:I5)</f>
        <v/>
      </c>
      <c r="O5" s="2">
        <f>AVERAGE(J5:L5)</f>
        <v/>
      </c>
      <c r="P5" s="3">
        <f>AVERAGE(M5:O5)</f>
        <v/>
      </c>
      <c r="Q5" s="3">
        <f>IF(P5&gt;=4,"高",IF(P5&gt;=2,"中","低"))</f>
        <v/>
      </c>
    </row>
    <row r="6">
      <c r="A6" s="3">
        <f>员工信息!A5</f>
        <v/>
      </c>
      <c r="B6" s="3">
        <f>员工信息!B5</f>
        <v/>
      </c>
      <c r="C6" s="3">
        <f>员工信息!C5</f>
        <v/>
      </c>
      <c r="D6" s="1">
        <v/>
      </c>
      <c r="E6" s="1">
        <v/>
      </c>
      <c r="F6" s="1">
        <v/>
      </c>
      <c r="G6" s="1">
        <v/>
      </c>
      <c r="H6" s="1">
        <v/>
      </c>
      <c r="I6" s="1">
        <v/>
      </c>
      <c r="J6" s="1">
        <v/>
      </c>
      <c r="K6" s="1">
        <v/>
      </c>
      <c r="L6" s="1">
        <v/>
      </c>
      <c r="M6" s="2">
        <f>AVERAGE(D6:F6)</f>
        <v/>
      </c>
      <c r="N6" s="2">
        <f>AVERAGE(G6:I6)</f>
        <v/>
      </c>
      <c r="O6" s="2">
        <f>AVERAGE(J6:L6)</f>
        <v/>
      </c>
      <c r="P6" s="3">
        <f>AVERAGE(M6:O6)</f>
        <v/>
      </c>
      <c r="Q6" s="3">
        <f>IF(P6&gt;=4,"高",IF(P6&gt;=2,"中","低"))</f>
        <v/>
      </c>
    </row>
    <row r="7">
      <c r="A7" s="3">
        <f>员工信息!A6</f>
        <v/>
      </c>
      <c r="B7" s="3">
        <f>员工信息!B6</f>
        <v/>
      </c>
      <c r="C7" s="3">
        <f>员工信息!C6</f>
        <v/>
      </c>
      <c r="D7" s="1">
        <v/>
      </c>
      <c r="E7" s="1">
        <v/>
      </c>
      <c r="F7" s="1">
        <v/>
      </c>
      <c r="G7" s="1">
        <v/>
      </c>
      <c r="H7" s="1">
        <v/>
      </c>
      <c r="I7" s="1">
        <v/>
      </c>
      <c r="J7" s="1">
        <v/>
      </c>
      <c r="K7" s="1">
        <v/>
      </c>
      <c r="L7" s="1">
        <v/>
      </c>
      <c r="M7" s="2">
        <f>AVERAGE(D7:F7)</f>
        <v/>
      </c>
      <c r="N7" s="2">
        <f>AVERAGE(G7:I7)</f>
        <v/>
      </c>
      <c r="O7" s="2">
        <f>AVERAGE(J7:L7)</f>
        <v/>
      </c>
      <c r="P7" s="3">
        <f>AVERAGE(M7:O7)</f>
        <v/>
      </c>
      <c r="Q7" s="3">
        <f>IF(P7&gt;=4,"高",IF(P7&gt;=2,"中","低"))</f>
        <v/>
      </c>
    </row>
    <row r="8">
      <c r="A8" s="3">
        <f>员工信息!A7</f>
        <v/>
      </c>
      <c r="B8" s="3">
        <f>员工信息!B7</f>
        <v/>
      </c>
      <c r="C8" s="3">
        <f>员工信息!C7</f>
        <v/>
      </c>
      <c r="D8" s="1">
        <v/>
      </c>
      <c r="E8" s="1">
        <v/>
      </c>
      <c r="F8" s="1">
        <v/>
      </c>
      <c r="G8" s="1">
        <v/>
      </c>
      <c r="H8" s="1">
        <v/>
      </c>
      <c r="I8" s="1">
        <v/>
      </c>
      <c r="J8" s="1">
        <v/>
      </c>
      <c r="K8" s="1">
        <v/>
      </c>
      <c r="L8" s="1">
        <v/>
      </c>
      <c r="M8" s="2">
        <f>AVERAGE(D8:F8)</f>
        <v/>
      </c>
      <c r="N8" s="2">
        <f>AVERAGE(G8:I8)</f>
        <v/>
      </c>
      <c r="O8" s="2">
        <f>AVERAGE(J8:L8)</f>
        <v/>
      </c>
      <c r="P8" s="3">
        <f>AVERAGE(M8:O8)</f>
        <v/>
      </c>
      <c r="Q8" s="3">
        <f>IF(P8&gt;=4,"高",IF(P8&gt;=2,"中","低"))</f>
        <v/>
      </c>
    </row>
    <row r="9">
      <c r="A9" s="3">
        <f>员工信息!A8</f>
        <v/>
      </c>
      <c r="B9" s="3">
        <f>员工信息!B8</f>
        <v/>
      </c>
      <c r="C9" s="3">
        <f>员工信息!C8</f>
        <v/>
      </c>
      <c r="D9" s="1">
        <v/>
      </c>
      <c r="E9" s="1">
        <v/>
      </c>
      <c r="F9" s="1">
        <v/>
      </c>
      <c r="G9" s="1">
        <v/>
      </c>
      <c r="H9" s="1">
        <v/>
      </c>
      <c r="I9" s="1">
        <v/>
      </c>
      <c r="J9" s="1">
        <v/>
      </c>
      <c r="K9" s="1">
        <v/>
      </c>
      <c r="L9" s="1">
        <v/>
      </c>
      <c r="M9" s="2">
        <f>AVERAGE(D9:F9)</f>
        <v/>
      </c>
      <c r="N9" s="2">
        <f>AVERAGE(G9:I9)</f>
        <v/>
      </c>
      <c r="O9" s="2">
        <f>AVERAGE(J9:L9)</f>
        <v/>
      </c>
      <c r="P9" s="3">
        <f>AVERAGE(M9:O9)</f>
        <v/>
      </c>
      <c r="Q9" s="3">
        <f>IF(P9&gt;=4,"高",IF(P9&gt;=2,"中","低"))</f>
        <v/>
      </c>
    </row>
    <row r="10">
      <c r="A10" s="3">
        <f>员工信息!A9</f>
        <v/>
      </c>
      <c r="B10" s="3">
        <f>员工信息!B9</f>
        <v/>
      </c>
      <c r="C10" s="3">
        <f>员工信息!C9</f>
        <v/>
      </c>
      <c r="D10" s="1">
        <v/>
      </c>
      <c r="E10" s="1">
        <v/>
      </c>
      <c r="F10" s="1">
        <v/>
      </c>
      <c r="G10" s="1">
        <v/>
      </c>
      <c r="H10" s="1">
        <v/>
      </c>
      <c r="I10" s="1">
        <v/>
      </c>
      <c r="J10" s="1">
        <v/>
      </c>
      <c r="K10" s="1">
        <v/>
      </c>
      <c r="L10" s="1">
        <v/>
      </c>
      <c r="M10" s="2">
        <f>AVERAGE(D10:F10)</f>
        <v/>
      </c>
      <c r="N10" s="2">
        <f>AVERAGE(G10:I10)</f>
        <v/>
      </c>
      <c r="O10" s="2">
        <f>AVERAGE(J10:L10)</f>
        <v/>
      </c>
      <c r="P10" s="3">
        <f>AVERAGE(M10:O10)</f>
        <v/>
      </c>
      <c r="Q10" s="3">
        <f>IF(P10&gt;=4,"高",IF(P10&gt;=2,"中","低"))</f>
        <v/>
      </c>
    </row>
    <row r="11">
      <c r="A11" s="3">
        <f>员工信息!A10</f>
        <v/>
      </c>
      <c r="B11" s="3">
        <f>员工信息!B10</f>
        <v/>
      </c>
      <c r="C11" s="3">
        <f>员工信息!C10</f>
        <v/>
      </c>
      <c r="D11" s="1">
        <v/>
      </c>
      <c r="E11" s="1">
        <v/>
      </c>
      <c r="F11" s="1">
        <v/>
      </c>
      <c r="G11" s="1">
        <v/>
      </c>
      <c r="H11" s="1">
        <v/>
      </c>
      <c r="I11" s="1">
        <v/>
      </c>
      <c r="J11" s="1">
        <v/>
      </c>
      <c r="K11" s="1">
        <v/>
      </c>
      <c r="L11" s="1">
        <v/>
      </c>
      <c r="M11" s="2">
        <f>AVERAGE(D11:F11)</f>
        <v/>
      </c>
      <c r="N11" s="2">
        <f>AVERAGE(G11:I11)</f>
        <v/>
      </c>
      <c r="O11" s="2">
        <f>AVERAGE(J11:L11)</f>
        <v/>
      </c>
      <c r="P11" s="3">
        <f>AVERAGE(M11:O11)</f>
        <v/>
      </c>
      <c r="Q11" s="3">
        <f>IF(P11&gt;=4,"高",IF(P11&gt;=2,"中","低"))</f>
        <v/>
      </c>
    </row>
    <row r="12">
      <c r="A12" s="3">
        <f>员工信息!A11</f>
        <v/>
      </c>
      <c r="B12" s="3">
        <f>员工信息!B11</f>
        <v/>
      </c>
      <c r="C12" s="3">
        <f>员工信息!C11</f>
        <v/>
      </c>
      <c r="D12" s="1">
        <v/>
      </c>
      <c r="E12" s="1">
        <v/>
      </c>
      <c r="F12" s="1">
        <v/>
      </c>
      <c r="G12" s="1">
        <v/>
      </c>
      <c r="H12" s="1">
        <v/>
      </c>
      <c r="I12" s="1">
        <v/>
      </c>
      <c r="J12" s="1">
        <v/>
      </c>
      <c r="K12" s="1">
        <v/>
      </c>
      <c r="L12" s="1">
        <v/>
      </c>
      <c r="M12" s="2">
        <f>AVERAGE(D12:F12)</f>
        <v/>
      </c>
      <c r="N12" s="2">
        <f>AVERAGE(G12:I12)</f>
        <v/>
      </c>
      <c r="O12" s="2">
        <f>AVERAGE(J12:L12)</f>
        <v/>
      </c>
      <c r="P12" s="3">
        <f>AVERAGE(M12:O12)</f>
        <v/>
      </c>
      <c r="Q12" s="3">
        <f>IF(P12&gt;=4,"高",IF(P12&gt;=2,"中","低"))</f>
        <v/>
      </c>
    </row>
    <row r="13">
      <c r="A13" s="3">
        <f>员工信息!A12</f>
        <v/>
      </c>
      <c r="B13" s="3">
        <f>员工信息!B12</f>
        <v/>
      </c>
      <c r="C13" s="3">
        <f>员工信息!C12</f>
        <v/>
      </c>
      <c r="D13" s="1">
        <v/>
      </c>
      <c r="E13" s="1">
        <v/>
      </c>
      <c r="F13" s="1">
        <v/>
      </c>
      <c r="G13" s="1">
        <v/>
      </c>
      <c r="H13" s="1">
        <v/>
      </c>
      <c r="I13" s="1">
        <v/>
      </c>
      <c r="J13" s="1">
        <v/>
      </c>
      <c r="K13" s="1">
        <v/>
      </c>
      <c r="L13" s="1">
        <v/>
      </c>
      <c r="M13" s="2">
        <f>AVERAGE(D13:F13)</f>
        <v/>
      </c>
      <c r="N13" s="2">
        <f>AVERAGE(G13:I13)</f>
        <v/>
      </c>
      <c r="O13" s="2">
        <f>AVERAGE(J13:L13)</f>
        <v/>
      </c>
      <c r="P13" s="3">
        <f>AVERAGE(M13:O13)</f>
        <v/>
      </c>
      <c r="Q13" s="3">
        <f>IF(P13&gt;=4,"高",IF(P13&gt;=2,"中","低"))</f>
        <v/>
      </c>
    </row>
    <row r="14">
      <c r="A14" s="3">
        <f>员工信息!A13</f>
        <v/>
      </c>
      <c r="B14" s="3">
        <f>员工信息!B13</f>
        <v/>
      </c>
      <c r="C14" s="3">
        <f>员工信息!C13</f>
        <v/>
      </c>
      <c r="D14" s="1">
        <v/>
      </c>
      <c r="E14" s="1">
        <v/>
      </c>
      <c r="F14" s="1">
        <v/>
      </c>
      <c r="G14" s="1">
        <v/>
      </c>
      <c r="H14" s="1">
        <v/>
      </c>
      <c r="I14" s="1">
        <v/>
      </c>
      <c r="J14" s="1">
        <v/>
      </c>
      <c r="K14" s="1">
        <v/>
      </c>
      <c r="L14" s="1">
        <v/>
      </c>
      <c r="M14" s="2">
        <f>AVERAGE(D14:F14)</f>
        <v/>
      </c>
      <c r="N14" s="2">
        <f>AVERAGE(G14:I14)</f>
        <v/>
      </c>
      <c r="O14" s="2">
        <f>AVERAGE(J14:L14)</f>
        <v/>
      </c>
      <c r="P14" s="3">
        <f>AVERAGE(M14:O14)</f>
        <v/>
      </c>
      <c r="Q14" s="3">
        <f>IF(P14&gt;=4,"高",IF(P14&gt;=2,"中","低"))</f>
        <v/>
      </c>
    </row>
    <row r="15">
      <c r="A15" s="3">
        <f>员工信息!A14</f>
        <v/>
      </c>
      <c r="B15" s="3">
        <f>员工信息!B14</f>
        <v/>
      </c>
      <c r="C15" s="3">
        <f>员工信息!C14</f>
        <v/>
      </c>
      <c r="D15" s="1">
        <v/>
      </c>
      <c r="E15" s="1">
        <v/>
      </c>
      <c r="F15" s="1">
        <v/>
      </c>
      <c r="G15" s="1">
        <v/>
      </c>
      <c r="H15" s="1">
        <v/>
      </c>
      <c r="I15" s="1">
        <v/>
      </c>
      <c r="J15" s="1">
        <v/>
      </c>
      <c r="K15" s="1">
        <v/>
      </c>
      <c r="L15" s="1">
        <v/>
      </c>
      <c r="M15" s="2">
        <f>AVERAGE(D15:F15)</f>
        <v/>
      </c>
      <c r="N15" s="2">
        <f>AVERAGE(G15:I15)</f>
        <v/>
      </c>
      <c r="O15" s="2">
        <f>AVERAGE(J15:L15)</f>
        <v/>
      </c>
      <c r="P15" s="3">
        <f>AVERAGE(M15:O15)</f>
        <v/>
      </c>
      <c r="Q15" s="3">
        <f>IF(P15&gt;=4,"高",IF(P15&gt;=2,"中","低"))</f>
        <v/>
      </c>
    </row>
    <row r="16">
      <c r="A16" s="3">
        <f>员工信息!A15</f>
        <v/>
      </c>
      <c r="B16" s="3">
        <f>员工信息!B15</f>
        <v/>
      </c>
      <c r="C16" s="3">
        <f>员工信息!C15</f>
        <v/>
      </c>
      <c r="D16" s="1">
        <v/>
      </c>
      <c r="E16" s="1">
        <v/>
      </c>
      <c r="F16" s="1">
        <v/>
      </c>
      <c r="G16" s="1">
        <v/>
      </c>
      <c r="H16" s="1">
        <v/>
      </c>
      <c r="I16" s="1">
        <v/>
      </c>
      <c r="J16" s="1">
        <v/>
      </c>
      <c r="K16" s="1">
        <v/>
      </c>
      <c r="L16" s="1">
        <v/>
      </c>
      <c r="M16" s="2">
        <f>AVERAGE(D16:F16)</f>
        <v/>
      </c>
      <c r="N16" s="2">
        <f>AVERAGE(G16:I16)</f>
        <v/>
      </c>
      <c r="O16" s="2">
        <f>AVERAGE(J16:L16)</f>
        <v/>
      </c>
      <c r="P16" s="3">
        <f>AVERAGE(M16:O16)</f>
        <v/>
      </c>
      <c r="Q16" s="3">
        <f>IF(P16&gt;=4,"高",IF(P16&gt;=2,"中","低"))</f>
        <v/>
      </c>
    </row>
    <row r="17">
      <c r="A17" s="3">
        <f>员工信息!A16</f>
        <v/>
      </c>
      <c r="B17" s="3">
        <f>员工信息!B16</f>
        <v/>
      </c>
      <c r="C17" s="3">
        <f>员工信息!C16</f>
        <v/>
      </c>
      <c r="D17" s="1">
        <v/>
      </c>
      <c r="E17" s="1">
        <v/>
      </c>
      <c r="F17" s="1">
        <v/>
      </c>
      <c r="G17" s="1">
        <v/>
      </c>
      <c r="H17" s="1">
        <v/>
      </c>
      <c r="I17" s="1">
        <v/>
      </c>
      <c r="J17" s="1">
        <v/>
      </c>
      <c r="K17" s="1">
        <v/>
      </c>
      <c r="L17" s="1">
        <v/>
      </c>
      <c r="M17" s="2">
        <f>AVERAGE(D17:F17)</f>
        <v/>
      </c>
      <c r="N17" s="2">
        <f>AVERAGE(G17:I17)</f>
        <v/>
      </c>
      <c r="O17" s="2">
        <f>AVERAGE(J17:L17)</f>
        <v/>
      </c>
      <c r="P17" s="3">
        <f>AVERAGE(M17:O17)</f>
        <v/>
      </c>
      <c r="Q17" s="3">
        <f>IF(P17&gt;=4,"高",IF(P17&gt;=2,"中","低"))</f>
        <v/>
      </c>
    </row>
    <row r="18">
      <c r="A18" s="3">
        <f>员工信息!A17</f>
        <v/>
      </c>
      <c r="B18" s="3">
        <f>员工信息!B17</f>
        <v/>
      </c>
      <c r="C18" s="3">
        <f>员工信息!C17</f>
        <v/>
      </c>
      <c r="D18" s="1">
        <v/>
      </c>
      <c r="E18" s="1">
        <v/>
      </c>
      <c r="F18" s="1">
        <v/>
      </c>
      <c r="G18" s="1">
        <v/>
      </c>
      <c r="H18" s="1">
        <v/>
      </c>
      <c r="I18" s="1">
        <v/>
      </c>
      <c r="J18" s="1">
        <v/>
      </c>
      <c r="K18" s="1">
        <v/>
      </c>
      <c r="L18" s="1">
        <v/>
      </c>
      <c r="M18" s="2">
        <f>AVERAGE(D18:F18)</f>
        <v/>
      </c>
      <c r="N18" s="2">
        <f>AVERAGE(G18:I18)</f>
        <v/>
      </c>
      <c r="O18" s="2">
        <f>AVERAGE(J18:L18)</f>
        <v/>
      </c>
      <c r="P18" s="3">
        <f>AVERAGE(M18:O18)</f>
        <v/>
      </c>
      <c r="Q18" s="3">
        <f>IF(P18&gt;=4,"高",IF(P18&gt;=2,"中","低"))</f>
        <v/>
      </c>
    </row>
    <row r="19">
      <c r="A19" s="3">
        <f>员工信息!A18</f>
        <v/>
      </c>
      <c r="B19" s="3">
        <f>员工信息!B18</f>
        <v/>
      </c>
      <c r="C19" s="3">
        <f>员工信息!C18</f>
        <v/>
      </c>
      <c r="D19" s="1">
        <v/>
      </c>
      <c r="E19" s="1">
        <v/>
      </c>
      <c r="F19" s="1">
        <v/>
      </c>
      <c r="G19" s="1">
        <v/>
      </c>
      <c r="H19" s="1">
        <v/>
      </c>
      <c r="I19" s="1">
        <v/>
      </c>
      <c r="J19" s="1">
        <v/>
      </c>
      <c r="K19" s="1">
        <v/>
      </c>
      <c r="L19" s="1">
        <v/>
      </c>
      <c r="M19" s="2">
        <f>AVERAGE(D19:F19)</f>
        <v/>
      </c>
      <c r="N19" s="2">
        <f>AVERAGE(G19:I19)</f>
        <v/>
      </c>
      <c r="O19" s="2">
        <f>AVERAGE(J19:L19)</f>
        <v/>
      </c>
      <c r="P19" s="3">
        <f>AVERAGE(M19:O19)</f>
        <v/>
      </c>
      <c r="Q19" s="3">
        <f>IF(P19&gt;=4,"高",IF(P19&gt;=2,"中","低"))</f>
        <v/>
      </c>
    </row>
    <row r="20">
      <c r="A20" s="3">
        <f>员工信息!A19</f>
        <v/>
      </c>
      <c r="B20" s="3">
        <f>员工信息!B19</f>
        <v/>
      </c>
      <c r="C20" s="3">
        <f>员工信息!C19</f>
        <v/>
      </c>
      <c r="D20" s="1">
        <v/>
      </c>
      <c r="E20" s="1">
        <v/>
      </c>
      <c r="F20" s="1">
        <v/>
      </c>
      <c r="G20" s="1">
        <v/>
      </c>
      <c r="H20" s="1">
        <v/>
      </c>
      <c r="I20" s="1">
        <v/>
      </c>
      <c r="J20" s="1">
        <v/>
      </c>
      <c r="K20" s="1">
        <v/>
      </c>
      <c r="L20" s="1">
        <v/>
      </c>
      <c r="M20" s="2">
        <f>AVERAGE(D20:F20)</f>
        <v/>
      </c>
      <c r="N20" s="2">
        <f>AVERAGE(G20:I20)</f>
        <v/>
      </c>
      <c r="O20" s="2">
        <f>AVERAGE(J20:L20)</f>
        <v/>
      </c>
      <c r="P20" s="3">
        <f>AVERAGE(M20:O20)</f>
        <v/>
      </c>
      <c r="Q20" s="3">
        <f>IF(P20&gt;=4,"高",IF(P20&gt;=2,"中","低"))</f>
        <v/>
      </c>
    </row>
    <row r="21">
      <c r="A21" s="3">
        <f>员工信息!A20</f>
        <v/>
      </c>
      <c r="B21" s="3">
        <f>员工信息!B20</f>
        <v/>
      </c>
      <c r="C21" s="3">
        <f>员工信息!C20</f>
        <v/>
      </c>
      <c r="D21" s="1">
        <v/>
      </c>
      <c r="E21" s="1">
        <v/>
      </c>
      <c r="F21" s="1">
        <v/>
      </c>
      <c r="G21" s="1">
        <v/>
      </c>
      <c r="H21" s="1">
        <v/>
      </c>
      <c r="I21" s="1">
        <v/>
      </c>
      <c r="J21" s="1">
        <v/>
      </c>
      <c r="K21" s="1">
        <v/>
      </c>
      <c r="L21" s="1">
        <v/>
      </c>
      <c r="M21" s="2">
        <f>AVERAGE(D21:F21)</f>
        <v/>
      </c>
      <c r="N21" s="2">
        <f>AVERAGE(G21:I21)</f>
        <v/>
      </c>
      <c r="O21" s="2">
        <f>AVERAGE(J21:L21)</f>
        <v/>
      </c>
      <c r="P21" s="3">
        <f>AVERAGE(M21:O21)</f>
        <v/>
      </c>
      <c r="Q21" s="3">
        <f>IF(P21&gt;=4,"高",IF(P21&gt;=2,"中","低"))</f>
        <v/>
      </c>
    </row>
    <row r="22">
      <c r="A22" s="3">
        <f>员工信息!A21</f>
        <v/>
      </c>
      <c r="B22" s="3">
        <f>员工信息!B21</f>
        <v/>
      </c>
      <c r="C22" s="3">
        <f>员工信息!C21</f>
        <v/>
      </c>
      <c r="D22" s="1">
        <v/>
      </c>
      <c r="E22" s="1">
        <v/>
      </c>
      <c r="F22" s="1">
        <v/>
      </c>
      <c r="G22" s="1">
        <v/>
      </c>
      <c r="H22" s="1">
        <v/>
      </c>
      <c r="I22" s="1">
        <v/>
      </c>
      <c r="J22" s="1">
        <v/>
      </c>
      <c r="K22" s="1">
        <v/>
      </c>
      <c r="L22" s="1">
        <v/>
      </c>
      <c r="M22" s="2">
        <f>AVERAGE(D22:F22)</f>
        <v/>
      </c>
      <c r="N22" s="2">
        <f>AVERAGE(G22:I22)</f>
        <v/>
      </c>
      <c r="O22" s="2">
        <f>AVERAGE(J22:L22)</f>
        <v/>
      </c>
      <c r="P22" s="3">
        <f>AVERAGE(M22:O22)</f>
        <v/>
      </c>
      <c r="Q22" s="3">
        <f>IF(P22&gt;=4,"高",IF(P22&gt;=2,"中","低"))</f>
        <v/>
      </c>
    </row>
    <row r="23">
      <c r="A23" s="3">
        <f>员工信息!A22</f>
        <v/>
      </c>
      <c r="B23" s="3">
        <f>员工信息!B22</f>
        <v/>
      </c>
      <c r="C23" s="3">
        <f>员工信息!C22</f>
        <v/>
      </c>
      <c r="D23" s="1">
        <v/>
      </c>
      <c r="E23" s="1">
        <v/>
      </c>
      <c r="F23" s="1">
        <v/>
      </c>
      <c r="G23" s="1">
        <v/>
      </c>
      <c r="H23" s="1">
        <v/>
      </c>
      <c r="I23" s="1">
        <v/>
      </c>
      <c r="J23" s="1">
        <v/>
      </c>
      <c r="K23" s="1">
        <v/>
      </c>
      <c r="L23" s="1">
        <v/>
      </c>
      <c r="M23" s="2">
        <f>AVERAGE(D23:F23)</f>
        <v/>
      </c>
      <c r="N23" s="2">
        <f>AVERAGE(G23:I23)</f>
        <v/>
      </c>
      <c r="O23" s="2">
        <f>AVERAGE(J23:L23)</f>
        <v/>
      </c>
      <c r="P23" s="3">
        <f>AVERAGE(M23:O23)</f>
        <v/>
      </c>
      <c r="Q23" s="3">
        <f>IF(P23&gt;=4,"高",IF(P23&gt;=2,"中","低"))</f>
        <v/>
      </c>
    </row>
    <row r="24">
      <c r="A24" s="3">
        <f>员工信息!A23</f>
        <v/>
      </c>
      <c r="B24" s="3">
        <f>员工信息!B23</f>
        <v/>
      </c>
      <c r="C24" s="3">
        <f>员工信息!C23</f>
        <v/>
      </c>
      <c r="D24" s="1">
        <v/>
      </c>
      <c r="E24" s="1">
        <v/>
      </c>
      <c r="F24" s="1">
        <v/>
      </c>
      <c r="G24" s="1">
        <v/>
      </c>
      <c r="H24" s="1">
        <v/>
      </c>
      <c r="I24" s="1">
        <v/>
      </c>
      <c r="J24" s="1">
        <v/>
      </c>
      <c r="K24" s="1">
        <v/>
      </c>
      <c r="L24" s="1">
        <v/>
      </c>
      <c r="M24" s="2">
        <f>AVERAGE(D24:F24)</f>
        <v/>
      </c>
      <c r="N24" s="2">
        <f>AVERAGE(G24:I24)</f>
        <v/>
      </c>
      <c r="O24" s="2">
        <f>AVERAGE(J24:L24)</f>
        <v/>
      </c>
      <c r="P24" s="3">
        <f>AVERAGE(M24:O24)</f>
        <v/>
      </c>
      <c r="Q24" s="3">
        <f>IF(P24&gt;=4,"高",IF(P24&gt;=2,"中","低"))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2" customWidth="1"/>
    <col min="2" max="2" width="10" customWidth="1"/>
    <col min="3" max="3" width="8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4" customWidth="1"/>
  </cols>
  <sheetData>
    <row r="1">
      <c r="A1" t="s" s="4">
        <v>64</v>
      </c>
    </row>
    <row r="2">
      <c r="A2" t="s" s="0">
        <v>81</v>
      </c>
    </row>
    <row r="3">
      <c r="A3" t="s" s="4">
        <v>39</v>
      </c>
      <c r="B3" t="s" s="4">
        <v>40</v>
      </c>
      <c r="C3" t="s" s="4">
        <v>42</v>
      </c>
      <c r="D3" t="s" s="4">
        <v>47</v>
      </c>
      <c r="E3" t="s" s="4">
        <v>65</v>
      </c>
      <c r="F3" t="s" s="4">
        <v>59</v>
      </c>
      <c r="G3" t="s" s="4">
        <v>66</v>
      </c>
      <c r="H3" t="s" s="4">
        <v>67</v>
      </c>
      <c r="I3" t="s" s="4">
        <v>68</v>
      </c>
    </row>
    <row r="4">
      <c r="A4" t="s" s="0">
        <v>69</v>
      </c>
    </row>
    <row r="5">
      <c r="A5" t="s" s="0">
        <v>70</v>
      </c>
    </row>
    <row r="6">
      <c r="A6" t="s" s="0">
        <v>71</v>
      </c>
    </row>
    <row r="7">
      <c r="A7" t="s" s="0">
        <v>72</v>
      </c>
    </row>
    <row r="8">
      <c r="A8" t="s" s="0">
        <v>73</v>
      </c>
    </row>
    <row r="9">
      <c r="A9" t="s" s="0">
        <v>74</v>
      </c>
    </row>
    <row r="10">
  </row>
    <row r="11">
      <c r="A11" s="3">
        <f>员工信息!A11</f>
        <v/>
      </c>
      <c r="B11" s="3">
        <f>员工信息!B11</f>
        <v/>
      </c>
      <c r="C11" s="3">
        <f>员工信息!C11</f>
        <v/>
      </c>
      <c r="D11" s="3">
        <f>年度绩效!D11</f>
        <v/>
      </c>
      <c r="E11" s="3">
        <f>IF(年度绩效!D11&gt;=4,"高",IF(年度绩效!D11&gt;=3,"中","低"))</f>
        <v/>
      </c>
      <c r="F11" s="3">
        <f>潜力评估!P11</f>
        <v/>
      </c>
      <c r="G11" s="3">
        <f>潜力评估!Q11</f>
        <v/>
      </c>
      <c r="H11" s="3">
        <f>IF(E11="高",IF(潜力评估!P11&gt;=4,"A1",IF(潜力评估!P11&gt;=2,"A2","A3")),IF(E11="中",IF(潜力评估!P11&gt;=4,"B1",IF(潜力评估!P11&gt;=2,"B2","B3")),IF(潜力评估!P11&gt;=4,"C1",IF(潜力评估!P11&gt;=2,"C2","C3"))))</f>
        <v/>
      </c>
      <c r="I11" s="3">
        <f>IF(AND(E11="高",G11="高"),"核心保留池",IF(AND(E11="中",G11="高"),"加速培养池",IF(AND(E11="高",G11="中"),"骨干稳定池",IF(AND(E11="高",G11="低"),"熟练执行池",IF(AND(E11="中",G11="中"),"观察待定池",IF(AND(E11="中",G11="低"),"降本优化池",IF(AND(E11="低",G11="高"),"特殊关注池","优化调整池")))))))</f>
        <v/>
      </c>
    </row>
    <row r="12">
      <c r="A12" s="3">
        <f>员工信息!A12</f>
        <v/>
      </c>
      <c r="B12" s="3">
        <f>员工信息!B12</f>
        <v/>
      </c>
      <c r="C12" s="3">
        <f>员工信息!C12</f>
        <v/>
      </c>
      <c r="D12" s="3">
        <f>年度绩效!D12</f>
        <v/>
      </c>
      <c r="E12" s="3">
        <f>IF(年度绩效!D12&gt;=4,"高",IF(年度绩效!D12&gt;=3,"中","低"))</f>
        <v/>
      </c>
      <c r="F12" s="3">
        <f>潜力评估!P12</f>
        <v/>
      </c>
      <c r="G12" s="3">
        <f>潜力评估!Q12</f>
        <v/>
      </c>
      <c r="H12" s="3">
        <f>IF(E12="高",IF(潜力评估!P12&gt;=4,"A1",IF(潜力评估!P12&gt;=2,"A2","A3")),IF(E12="中",IF(潜力评估!P12&gt;=4,"B1",IF(潜力评估!P12&gt;=2,"B2","B3")),IF(潜力评估!P12&gt;=4,"C1",IF(潜力评估!P12&gt;=2,"C2","C3"))))</f>
        <v/>
      </c>
      <c r="I12" s="3">
        <f>IF(AND(E12="高",G12="高"),"核心保留池",IF(AND(E12="中",G12="高"),"加速培养池",IF(AND(E12="高",G12="中"),"骨干稳定池",IF(AND(E12="高",G12="低"),"熟练执行池",IF(AND(E12="中",G12="中"),"观察待定池",IF(AND(E12="中",G12="低"),"降本优化池",IF(AND(E12="低",G12="高"),"特殊关注池","优化调整池")))))))</f>
        <v/>
      </c>
    </row>
    <row r="13">
      <c r="A13" s="3">
        <f>员工信息!A13</f>
        <v/>
      </c>
      <c r="B13" s="3">
        <f>员工信息!B13</f>
        <v/>
      </c>
      <c r="C13" s="3">
        <f>员工信息!C13</f>
        <v/>
      </c>
      <c r="D13" s="3">
        <f>年度绩效!D13</f>
        <v/>
      </c>
      <c r="E13" s="3">
        <f>IF(年度绩效!D13&gt;=4,"高",IF(年度绩效!D13&gt;=3,"中","低"))</f>
        <v/>
      </c>
      <c r="F13" s="3">
        <f>潜力评估!P13</f>
        <v/>
      </c>
      <c r="G13" s="3">
        <f>潜力评估!Q13</f>
        <v/>
      </c>
      <c r="H13" s="3">
        <f>IF(E13="高",IF(潜力评估!P13&gt;=4,"A1",IF(潜力评估!P13&gt;=2,"A2","A3")),IF(E13="中",IF(潜力评估!P13&gt;=4,"B1",IF(潜力评估!P13&gt;=2,"B2","B3")),IF(潜力评估!P13&gt;=4,"C1",IF(潜力评估!P13&gt;=2,"C2","C3"))))</f>
        <v/>
      </c>
      <c r="I13" s="3">
        <f>IF(AND(E13="高",G13="高"),"核心保留池",IF(AND(E13="中",G13="高"),"加速培养池",IF(AND(E13="高",G13="中"),"骨干稳定池",IF(AND(E13="高",G13="低"),"熟练执行池",IF(AND(E13="中",G13="中"),"观察待定池",IF(AND(E13="中",G13="低"),"降本优化池",IF(AND(E13="低",G13="高"),"特殊关注池","优化调整池")))))))</f>
        <v/>
      </c>
    </row>
    <row r="14">
      <c r="A14" s="3">
        <f>员工信息!A14</f>
        <v/>
      </c>
      <c r="B14" s="3">
        <f>员工信息!B14</f>
        <v/>
      </c>
      <c r="C14" s="3">
        <f>员工信息!C14</f>
        <v/>
      </c>
      <c r="D14" s="3">
        <f>年度绩效!D14</f>
        <v/>
      </c>
      <c r="E14" s="3">
        <f>IF(年度绩效!D14&gt;=4,"高",IF(年度绩效!D14&gt;=3,"中","低"))</f>
        <v/>
      </c>
      <c r="F14" s="3">
        <f>潜力评估!P14</f>
        <v/>
      </c>
      <c r="G14" s="3">
        <f>潜力评估!Q14</f>
        <v/>
      </c>
      <c r="H14" s="3">
        <f>IF(E14="高",IF(潜力评估!P14&gt;=4,"A1",IF(潜力评估!P14&gt;=2,"A2","A3")),IF(E14="中",IF(潜力评估!P14&gt;=4,"B1",IF(潜力评估!P14&gt;=2,"B2","B3")),IF(潜力评估!P14&gt;=4,"C1",IF(潜力评估!P14&gt;=2,"C2","C3"))))</f>
        <v/>
      </c>
      <c r="I14" s="3">
        <f>IF(AND(E14="高",G14="高"),"核心保留池",IF(AND(E14="中",G14="高"),"加速培养池",IF(AND(E14="高",G14="中"),"骨干稳定池",IF(AND(E14="高",G14="低"),"熟练执行池",IF(AND(E14="中",G14="中"),"观察待定池",IF(AND(E14="中",G14="低"),"降本优化池",IF(AND(E14="低",G14="高"),"特殊关注池","优化调整池")))))))</f>
        <v/>
      </c>
    </row>
    <row r="15">
      <c r="A15" s="3">
        <f>员工信息!A15</f>
        <v/>
      </c>
      <c r="B15" s="3">
        <f>员工信息!B15</f>
        <v/>
      </c>
      <c r="C15" s="3">
        <f>员工信息!C15</f>
        <v/>
      </c>
      <c r="D15" s="3">
        <f>年度绩效!D15</f>
        <v/>
      </c>
      <c r="E15" s="3">
        <f>IF(年度绩效!D15&gt;=4,"高",IF(年度绩效!D15&gt;=3,"中","低"))</f>
        <v/>
      </c>
      <c r="F15" s="3">
        <f>潜力评估!P15</f>
        <v/>
      </c>
      <c r="G15" s="3">
        <f>潜力评估!Q15</f>
        <v/>
      </c>
      <c r="H15" s="3">
        <f>IF(E15="高",IF(潜力评估!P15&gt;=4,"A1",IF(潜力评估!P15&gt;=2,"A2","A3")),IF(E15="中",IF(潜力评估!P15&gt;=4,"B1",IF(潜力评估!P15&gt;=2,"B2","B3")),IF(潜力评估!P15&gt;=4,"C1",IF(潜力评估!P15&gt;=2,"C2","C3"))))</f>
        <v/>
      </c>
      <c r="I15" s="3">
        <f>IF(AND(E15="高",G15="高"),"核心保留池",IF(AND(E15="中",G15="高"),"加速培养池",IF(AND(E15="高",G15="中"),"骨干稳定池",IF(AND(E15="高",G15="低"),"熟练执行池",IF(AND(E15="中",G15="中"),"观察待定池",IF(AND(E15="中",G15="低"),"降本优化池",IF(AND(E15="低",G15="高"),"特殊关注池","优化调整池")))))))</f>
        <v/>
      </c>
    </row>
    <row r="16">
      <c r="A16" s="3">
        <f>员工信息!A16</f>
        <v/>
      </c>
      <c r="B16" s="3">
        <f>员工信息!B16</f>
        <v/>
      </c>
      <c r="C16" s="3">
        <f>员工信息!C16</f>
        <v/>
      </c>
      <c r="D16" s="3">
        <f>年度绩效!D16</f>
        <v/>
      </c>
      <c r="E16" s="3">
        <f>IF(年度绩效!D16&gt;=4,"高",IF(年度绩效!D16&gt;=3,"中","低"))</f>
        <v/>
      </c>
      <c r="F16" s="3">
        <f>潜力评估!P16</f>
        <v/>
      </c>
      <c r="G16" s="3">
        <f>潜力评估!Q16</f>
        <v/>
      </c>
      <c r="H16" s="3">
        <f>IF(E16="高",IF(潜力评估!P16&gt;=4,"A1",IF(潜力评估!P16&gt;=2,"A2","A3")),IF(E16="中",IF(潜力评估!P16&gt;=4,"B1",IF(潜力评估!P16&gt;=2,"B2","B3")),IF(潜力评估!P16&gt;=4,"C1",IF(潜力评估!P16&gt;=2,"C2","C3"))))</f>
        <v/>
      </c>
      <c r="I16" s="3">
        <f>IF(AND(E16="高",G16="高"),"核心保留池",IF(AND(E16="中",G16="高"),"加速培养池",IF(AND(E16="高",G16="中"),"骨干稳定池",IF(AND(E16="高",G16="低"),"熟练执行池",IF(AND(E16="中",G16="中"),"观察待定池",IF(AND(E16="中",G16="低"),"降本优化池",IF(AND(E16="低",G16="高"),"特殊关注池","优化调整池")))))))</f>
        <v/>
      </c>
    </row>
    <row r="17">
      <c r="A17" s="3">
        <f>员工信息!A17</f>
        <v/>
      </c>
      <c r="B17" s="3">
        <f>员工信息!B17</f>
        <v/>
      </c>
      <c r="C17" s="3">
        <f>员工信息!C17</f>
        <v/>
      </c>
      <c r="D17" s="3">
        <f>年度绩效!D17</f>
        <v/>
      </c>
      <c r="E17" s="3">
        <f>IF(年度绩效!D17&gt;=4,"高",IF(年度绩效!D17&gt;=3,"中","低"))</f>
        <v/>
      </c>
      <c r="F17" s="3">
        <f>潜力评估!P17</f>
        <v/>
      </c>
      <c r="G17" s="3">
        <f>潜力评估!Q17</f>
        <v/>
      </c>
      <c r="H17" s="3">
        <f>IF(E17="高",IF(潜力评估!P17&gt;=4,"A1",IF(潜力评估!P17&gt;=2,"A2","A3")),IF(E17="中",IF(潜力评估!P17&gt;=4,"B1",IF(潜力评估!P17&gt;=2,"B2","B3")),IF(潜力评估!P17&gt;=4,"C1",IF(潜力评估!P17&gt;=2,"C2","C3"))))</f>
        <v/>
      </c>
      <c r="I17" s="3">
        <f>IF(AND(E17="高",G17="高"),"核心保留池",IF(AND(E17="中",G17="高"),"加速培养池",IF(AND(E17="高",G17="中"),"骨干稳定池",IF(AND(E17="高",G17="低"),"熟练执行池",IF(AND(E17="中",G17="中"),"观察待定池",IF(AND(E17="中",G17="低"),"降本优化池",IF(AND(E17="低",G17="高"),"特殊关注池","优化调整池")))))))</f>
        <v/>
      </c>
    </row>
    <row r="18">
      <c r="A18" s="3">
        <f>员工信息!A18</f>
        <v/>
      </c>
      <c r="B18" s="3">
        <f>员工信息!B18</f>
        <v/>
      </c>
      <c r="C18" s="3">
        <f>员工信息!C18</f>
        <v/>
      </c>
      <c r="D18" s="3">
        <f>年度绩效!D18</f>
        <v/>
      </c>
      <c r="E18" s="3">
        <f>IF(年度绩效!D18&gt;=4,"高",IF(年度绩效!D18&gt;=3,"中","低"))</f>
        <v/>
      </c>
      <c r="F18" s="3">
        <f>潜力评估!P18</f>
        <v/>
      </c>
      <c r="G18" s="3">
        <f>潜力评估!Q18</f>
        <v/>
      </c>
      <c r="H18" s="3">
        <f>IF(E18="高",IF(潜力评估!P18&gt;=4,"A1",IF(潜力评估!P18&gt;=2,"A2","A3")),IF(E18="中",IF(潜力评估!P18&gt;=4,"B1",IF(潜力评估!P18&gt;=2,"B2","B3")),IF(潜力评估!P18&gt;=4,"C1",IF(潜力评估!P18&gt;=2,"C2","C3"))))</f>
        <v/>
      </c>
      <c r="I18" s="3">
        <f>IF(AND(E18="高",G18="高"),"核心保留池",IF(AND(E18="中",G18="高"),"加速培养池",IF(AND(E18="高",G18="中"),"骨干稳定池",IF(AND(E18="高",G18="低"),"熟练执行池",IF(AND(E18="中",G18="中"),"观察待定池",IF(AND(E18="中",G18="低"),"降本优化池",IF(AND(E18="低",G18="高"),"特殊关注池","优化调整池")))))))</f>
        <v/>
      </c>
    </row>
    <row r="19">
      <c r="A19" s="3">
        <f>员工信息!A19</f>
        <v/>
      </c>
      <c r="B19" s="3">
        <f>员工信息!B19</f>
        <v/>
      </c>
      <c r="C19" s="3">
        <f>员工信息!C19</f>
        <v/>
      </c>
      <c r="D19" s="3">
        <f>年度绩效!D19</f>
        <v/>
      </c>
      <c r="E19" s="3">
        <f>IF(年度绩效!D19&gt;=4,"高",IF(年度绩效!D19&gt;=3,"中","低"))</f>
        <v/>
      </c>
      <c r="F19" s="3">
        <f>潜力评估!P19</f>
        <v/>
      </c>
      <c r="G19" s="3">
        <f>潜力评估!Q19</f>
        <v/>
      </c>
      <c r="H19" s="3">
        <f>IF(E19="高",IF(潜力评估!P19&gt;=4,"A1",IF(潜力评估!P19&gt;=2,"A2","A3")),IF(E19="中",IF(潜力评估!P19&gt;=4,"B1",IF(潜力评估!P19&gt;=2,"B2","B3")),IF(潜力评估!P19&gt;=4,"C1",IF(潜力评估!P19&gt;=2,"C2","C3"))))</f>
        <v/>
      </c>
      <c r="I19" s="3">
        <f>IF(AND(E19="高",G19="高"),"核心保留池",IF(AND(E19="中",G19="高"),"加速培养池",IF(AND(E19="高",G19="中"),"骨干稳定池",IF(AND(E19="高",G19="低"),"熟练执行池",IF(AND(E19="中",G19="中"),"观察待定池",IF(AND(E19="中",G19="低"),"降本优化池",IF(AND(E19="低",G19="高"),"特殊关注池","优化调整池")))))))</f>
        <v/>
      </c>
    </row>
    <row r="20">
      <c r="A20" s="3">
        <f>员工信息!A20</f>
        <v/>
      </c>
      <c r="B20" s="3">
        <f>员工信息!B20</f>
        <v/>
      </c>
      <c r="C20" s="3">
        <f>员工信息!C20</f>
        <v/>
      </c>
      <c r="D20" s="3">
        <f>年度绩效!D20</f>
        <v/>
      </c>
      <c r="E20" s="3">
        <f>IF(年度绩效!D20&gt;=4,"高",IF(年度绩效!D20&gt;=3,"中","低"))</f>
        <v/>
      </c>
      <c r="F20" s="3">
        <f>潜力评估!P20</f>
        <v/>
      </c>
      <c r="G20" s="3">
        <f>潜力评估!Q20</f>
        <v/>
      </c>
      <c r="H20" s="3">
        <f>IF(E20="高",IF(潜力评估!P20&gt;=4,"A1",IF(潜力评估!P20&gt;=2,"A2","A3")),IF(E20="中",IF(潜力评估!P20&gt;=4,"B1",IF(潜力评估!P20&gt;=2,"B2","B3")),IF(潜力评估!P20&gt;=4,"C1",IF(潜力评估!P20&gt;=2,"C2","C3"))))</f>
        <v/>
      </c>
      <c r="I20" s="3">
        <f>IF(AND(E20="高",G20="高"),"核心保留池",IF(AND(E20="中",G20="高"),"加速培养池",IF(AND(E20="高",G20="中"),"骨干稳定池",IF(AND(E20="高",G20="低"),"熟练执行池",IF(AND(E20="中",G20="中"),"观察待定池",IF(AND(E20="中",G20="低"),"降本优化池",IF(AND(E20="低",G20="高"),"特殊关注池","优化调整池")))))))</f>
        <v/>
      </c>
    </row>
    <row r="21">
      <c r="A21" s="3">
        <f>员工信息!A21</f>
        <v/>
      </c>
      <c r="B21" s="3">
        <f>员工信息!B21</f>
        <v/>
      </c>
      <c r="C21" s="3">
        <f>员工信息!C21</f>
        <v/>
      </c>
      <c r="D21" s="3">
        <f>年度绩效!D21</f>
        <v/>
      </c>
      <c r="E21" s="3">
        <f>IF(年度绩效!D21&gt;=4,"高",IF(年度绩效!D21&gt;=3,"中","低"))</f>
        <v/>
      </c>
      <c r="F21" s="3">
        <f>潜力评估!P21</f>
        <v/>
      </c>
      <c r="G21" s="3">
        <f>潜力评估!Q21</f>
        <v/>
      </c>
      <c r="H21" s="3">
        <f>IF(E21="高",IF(潜力评估!P21&gt;=4,"A1",IF(潜力评估!P21&gt;=2,"A2","A3")),IF(E21="中",IF(潜力评估!P21&gt;=4,"B1",IF(潜力评估!P21&gt;=2,"B2","B3")),IF(潜力评估!P21&gt;=4,"C1",IF(潜力评估!P21&gt;=2,"C2","C3"))))</f>
        <v/>
      </c>
      <c r="I21" s="3">
        <f>IF(AND(E21="高",G21="高"),"核心保留池",IF(AND(E21="中",G21="高"),"加速培养池",IF(AND(E21="高",G21="中"),"骨干稳定池",IF(AND(E21="高",G21="低"),"熟练执行池",IF(AND(E21="中",G21="中"),"观察待定池",IF(AND(E21="中",G21="低"),"降本优化池",IF(AND(E21="低",G21="高"),"特殊关注池","优化调整池")))))))</f>
        <v/>
      </c>
    </row>
    <row r="22">
      <c r="A22" s="3">
        <f>员工信息!A22</f>
        <v/>
      </c>
      <c r="B22" s="3">
        <f>员工信息!B22</f>
        <v/>
      </c>
      <c r="C22" s="3">
        <f>员工信息!C22</f>
        <v/>
      </c>
      <c r="D22" s="3">
        <f>年度绩效!D22</f>
        <v/>
      </c>
      <c r="E22" s="3">
        <f>IF(年度绩效!D22&gt;=4,"高",IF(年度绩效!D22&gt;=3,"中","低"))</f>
        <v/>
      </c>
      <c r="F22" s="3">
        <f>潜力评估!P22</f>
        <v/>
      </c>
      <c r="G22" s="3">
        <f>潜力评估!Q22</f>
        <v/>
      </c>
      <c r="H22" s="3">
        <f>IF(E22="高",IF(潜力评估!P22&gt;=4,"A1",IF(潜力评估!P22&gt;=2,"A2","A3")),IF(E22="中",IF(潜力评估!P22&gt;=4,"B1",IF(潜力评估!P22&gt;=2,"B2","B3")),IF(潜力评估!P22&gt;=4,"C1",IF(潜力评估!P22&gt;=2,"C2","C3"))))</f>
        <v/>
      </c>
      <c r="I22" s="3">
        <f>IF(AND(E22="高",G22="高"),"核心保留池",IF(AND(E22="中",G22="高"),"加速培养池",IF(AND(E22="高",G22="中"),"骨干稳定池",IF(AND(E22="高",G22="低"),"熟练执行池",IF(AND(E22="中",G22="中"),"观察待定池",IF(AND(E22="中",G22="低"),"降本优化池",IF(AND(E22="低",G22="高"),"特殊关注池","优化调整池")))))))</f>
        <v/>
      </c>
    </row>
    <row r="23">
      <c r="A23" s="3">
        <f>员工信息!A23</f>
        <v/>
      </c>
      <c r="B23" s="3">
        <f>员工信息!B23</f>
        <v/>
      </c>
      <c r="C23" s="3">
        <f>员工信息!C23</f>
        <v/>
      </c>
      <c r="D23" s="3">
        <f>年度绩效!D23</f>
        <v/>
      </c>
      <c r="E23" s="3">
        <f>IF(年度绩效!D23&gt;=4,"高",IF(年度绩效!D23&gt;=3,"中","低"))</f>
        <v/>
      </c>
      <c r="F23" s="3">
        <f>潜力评估!P23</f>
        <v/>
      </c>
      <c r="G23" s="3">
        <f>潜力评估!Q23</f>
        <v/>
      </c>
      <c r="H23" s="3">
        <f>IF(E23="高",IF(潜力评估!P23&gt;=4,"A1",IF(潜力评估!P23&gt;=2,"A2","A3")),IF(E23="中",IF(潜力评估!P23&gt;=4,"B1",IF(潜力评估!P23&gt;=2,"B2","B3")),IF(潜力评估!P23&gt;=4,"C1",IF(潜力评估!P23&gt;=2,"C2","C3"))))</f>
        <v/>
      </c>
      <c r="I23" s="3">
        <f>IF(AND(E23="高",G23="高"),"核心保留池",IF(AND(E23="中",G23="高"),"加速培养池",IF(AND(E23="高",G23="中"),"骨干稳定池",IF(AND(E23="高",G23="低"),"熟练执行池",IF(AND(E23="中",G23="中"),"观察待定池",IF(AND(E23="中",G23="低"),"降本优化池",IF(AND(E23="低",G23="高"),"特殊关注池","优化调整池")))))))</f>
        <v/>
      </c>
    </row>
    <row r="24">
      <c r="A24" s="3">
        <f>员工信息!A24</f>
        <v/>
      </c>
      <c r="B24" s="3">
        <f>员工信息!B24</f>
        <v/>
      </c>
      <c r="C24" s="3">
        <f>员工信息!C24</f>
        <v/>
      </c>
      <c r="D24" s="3">
        <f>年度绩效!D24</f>
        <v/>
      </c>
      <c r="E24" s="3">
        <f>IF(年度绩效!D24&gt;=4,"高",IF(年度绩效!D24&gt;=3,"中","低"))</f>
        <v/>
      </c>
      <c r="F24" s="3">
        <f>潜力评估!P24</f>
        <v/>
      </c>
      <c r="G24" s="3">
        <f>潜力评估!Q24</f>
        <v/>
      </c>
      <c r="H24" s="3">
        <f>IF(E24="高",IF(潜力评估!P24&gt;=4,"A1",IF(潜力评估!P24&gt;=2,"A2","A3")),IF(E24="中",IF(潜力评估!P24&gt;=4,"B1",IF(潜力评估!P24&gt;=2,"B2","B3")),IF(潜力评估!P24&gt;=4,"C1",IF(潜力评估!P24&gt;=2,"C2","C3"))))</f>
        <v/>
      </c>
      <c r="I24" s="3">
        <f>IF(AND(E24="高",G24="高"),"核心保留池",IF(AND(E24="中",G24="高"),"加速培养池",IF(AND(E24="高",G24="中"),"骨干稳定池",IF(AND(E24="高",G24="低"),"熟练执行池",IF(AND(E24="中",G24="中"),"观察待定池",IF(AND(E24="中",G24="低"),"降本优化池",IF(AND(E24="低",G24="高"),"特殊关注池","优化调整池")))))))</f>
        <v/>
      </c>
    </row>
    <row r="25">
      <c r="A25" s="3">
        <f>员工信息!A25</f>
        <v/>
      </c>
      <c r="B25" s="3">
        <f>员工信息!B25</f>
        <v/>
      </c>
      <c r="C25" s="3">
        <f>员工信息!C25</f>
        <v/>
      </c>
      <c r="D25" s="3">
        <f>年度绩效!D25</f>
        <v/>
      </c>
      <c r="E25" s="3">
        <f>IF(年度绩效!D25&gt;=4,"高",IF(年度绩效!D25&gt;=3,"中","低"))</f>
        <v/>
      </c>
      <c r="F25" s="3">
        <f>潜力评估!P25</f>
        <v/>
      </c>
      <c r="G25" s="3">
        <f>潜力评估!Q25</f>
        <v/>
      </c>
      <c r="H25" s="3">
        <f>IF(E25="高",IF(潜力评估!P25&gt;=4,"A1",IF(潜力评估!P25&gt;=2,"A2","A3")),IF(E25="中",IF(潜力评估!P25&gt;=4,"B1",IF(潜力评估!P25&gt;=2,"B2","B3")),IF(潜力评估!P25&gt;=4,"C1",IF(潜力评估!P25&gt;=2,"C2","C3"))))</f>
        <v/>
      </c>
      <c r="I25" s="3">
        <f>IF(AND(E25="高",G25="高"),"核心保留池",IF(AND(E25="中",G25="高"),"加速培养池",IF(AND(E25="高",G25="中"),"骨干稳定池",IF(AND(E25="高",G25="低"),"熟练执行池",IF(AND(E25="中",G25="中"),"观察待定池",IF(AND(E25="中",G25="低"),"降本优化池",IF(AND(E25="低",G25="高"),"特殊关注池","优化调整池")))))))</f>
        <v/>
      </c>
    </row>
    <row r="26">
      <c r="A26" s="3">
        <f>员工信息!A26</f>
        <v/>
      </c>
      <c r="B26" s="3">
        <f>员工信息!B26</f>
        <v/>
      </c>
      <c r="C26" s="3">
        <f>员工信息!C26</f>
        <v/>
      </c>
      <c r="D26" s="3">
        <f>年度绩效!D26</f>
        <v/>
      </c>
      <c r="E26" s="3">
        <f>IF(年度绩效!D26&gt;=4,"高",IF(年度绩效!D26&gt;=3,"中","低"))</f>
        <v/>
      </c>
      <c r="F26" s="3">
        <f>潜力评估!P26</f>
        <v/>
      </c>
      <c r="G26" s="3">
        <f>潜力评估!Q26</f>
        <v/>
      </c>
      <c r="H26" s="3">
        <f>IF(E26="高",IF(潜力评估!P26&gt;=4,"A1",IF(潜力评估!P26&gt;=2,"A2","A3")),IF(E26="中",IF(潜力评估!P26&gt;=4,"B1",IF(潜力评估!P26&gt;=2,"B2","B3")),IF(潜力评估!P26&gt;=4,"C1",IF(潜力评估!P26&gt;=2,"C2","C3"))))</f>
        <v/>
      </c>
      <c r="I26" s="3">
        <f>IF(AND(E26="高",G26="高"),"核心保留池",IF(AND(E26="中",G26="高"),"加速培养池",IF(AND(E26="高",G26="中"),"骨干稳定池",IF(AND(E26="高",G26="低"),"熟练执行池",IF(AND(E26="中",G26="中"),"观察待定池",IF(AND(E26="中",G26="低"),"降本优化池",IF(AND(E26="低",G26="高"),"特殊关注池","优化调整池")))))))</f>
        <v/>
      </c>
    </row>
    <row r="27">
      <c r="A27" s="3">
        <f>员工信息!A27</f>
        <v/>
      </c>
      <c r="B27" s="3">
        <f>员工信息!B27</f>
        <v/>
      </c>
      <c r="C27" s="3">
        <f>员工信息!C27</f>
        <v/>
      </c>
      <c r="D27" s="3">
        <f>年度绩效!D27</f>
        <v/>
      </c>
      <c r="E27" s="3">
        <f>IF(年度绩效!D27&gt;=4,"高",IF(年度绩效!D27&gt;=3,"中","低"))</f>
        <v/>
      </c>
      <c r="F27" s="3">
        <f>潜力评估!P27</f>
        <v/>
      </c>
      <c r="G27" s="3">
        <f>潜力评估!Q27</f>
        <v/>
      </c>
      <c r="H27" s="3">
        <f>IF(E27="高",IF(潜力评估!P27&gt;=4,"A1",IF(潜力评估!P27&gt;=2,"A2","A3")),IF(E27="中",IF(潜力评估!P27&gt;=4,"B1",IF(潜力评估!P27&gt;=2,"B2","B3")),IF(潜力评估!P27&gt;=4,"C1",IF(潜力评估!P27&gt;=2,"C2","C3"))))</f>
        <v/>
      </c>
      <c r="I27" s="3">
        <f>IF(AND(E27="高",G27="高"),"核心保留池",IF(AND(E27="中",G27="高"),"加速培养池",IF(AND(E27="高",G27="中"),"骨干稳定池",IF(AND(E27="高",G27="低"),"熟练执行池",IF(AND(E27="中",G27="中"),"观察待定池",IF(AND(E27="中",G27="低"),"降本优化池",IF(AND(E27="低",G27="高"),"特殊关注池","优化调整池")))))))</f>
        <v/>
      </c>
    </row>
    <row r="28">
      <c r="A28" s="3">
        <f>员工信息!A28</f>
        <v/>
      </c>
      <c r="B28" s="3">
        <f>员工信息!B28</f>
        <v/>
      </c>
      <c r="C28" s="3">
        <f>员工信息!C28</f>
        <v/>
      </c>
      <c r="D28" s="3">
        <f>年度绩效!D28</f>
        <v/>
      </c>
      <c r="E28" s="3">
        <f>IF(年度绩效!D28&gt;=4,"高",IF(年度绩效!D28&gt;=3,"中","低"))</f>
        <v/>
      </c>
      <c r="F28" s="3">
        <f>潜力评估!P28</f>
        <v/>
      </c>
      <c r="G28" s="3">
        <f>潜力评估!Q28</f>
        <v/>
      </c>
      <c r="H28" s="3">
        <f>IF(E28="高",IF(潜力评估!P28&gt;=4,"A1",IF(潜力评估!P28&gt;=2,"A2","A3")),IF(E28="中",IF(潜力评估!P28&gt;=4,"B1",IF(潜力评估!P28&gt;=2,"B2","B3")),IF(潜力评估!P28&gt;=4,"C1",IF(潜力评估!P28&gt;=2,"C2","C3"))))</f>
        <v/>
      </c>
      <c r="I28" s="3">
        <f>IF(AND(E28="高",G28="高"),"核心保留池",IF(AND(E28="中",G28="高"),"加速培养池",IF(AND(E28="高",G28="中"),"骨干稳定池",IF(AND(E28="高",G28="低"),"熟练执行池",IF(AND(E28="中",G28="中"),"观察待定池",IF(AND(E28="中",G28="低"),"降本优化池",IF(AND(E28="低",G28="高"),"特殊关注池","优化调整池")))))))</f>
        <v/>
      </c>
    </row>
    <row r="29">
      <c r="A29" s="3">
        <f>员工信息!A29</f>
        <v/>
      </c>
      <c r="B29" s="3">
        <f>员工信息!B29</f>
        <v/>
      </c>
      <c r="C29" s="3">
        <f>员工信息!C29</f>
        <v/>
      </c>
      <c r="D29" s="3">
        <f>年度绩效!D29</f>
        <v/>
      </c>
      <c r="E29" s="3">
        <f>IF(年度绩效!D29&gt;=4,"高",IF(年度绩效!D29&gt;=3,"中","低"))</f>
        <v/>
      </c>
      <c r="F29" s="3">
        <f>潜力评估!P29</f>
        <v/>
      </c>
      <c r="G29" s="3">
        <f>潜力评估!Q29</f>
        <v/>
      </c>
      <c r="H29" s="3">
        <f>IF(E29="高",IF(潜力评估!P29&gt;=4,"A1",IF(潜力评估!P29&gt;=2,"A2","A3")),IF(E29="中",IF(潜力评估!P29&gt;=4,"B1",IF(潜力评估!P29&gt;=2,"B2","B3")),IF(潜力评估!P29&gt;=4,"C1",IF(潜力评估!P29&gt;=2,"C2","C3"))))</f>
        <v/>
      </c>
      <c r="I29" s="3">
        <f>IF(AND(E29="高",G29="高"),"核心保留池",IF(AND(E29="中",G29="高"),"加速培养池",IF(AND(E29="高",G29="中"),"骨干稳定池",IF(AND(E29="高",G29="低"),"熟练执行池",IF(AND(E29="中",G29="中"),"观察待定池",IF(AND(E29="中",G29="低"),"降本优化池",IF(AND(E29="低",G29="高"),"特殊关注池","优化调整池")))))))</f>
        <v/>
      </c>
    </row>
    <row r="30">
      <c r="A30" s="3">
        <f>员工信息!A30</f>
        <v/>
      </c>
      <c r="B30" s="3">
        <f>员工信息!B30</f>
        <v/>
      </c>
      <c r="C30" s="3">
        <f>员工信息!C30</f>
        <v/>
      </c>
      <c r="D30" s="3">
        <f>年度绩效!D30</f>
        <v/>
      </c>
      <c r="E30" s="3">
        <f>IF(年度绩效!D30&gt;=4,"高",IF(年度绩效!D30&gt;=3,"中","低"))</f>
        <v/>
      </c>
      <c r="F30" s="3">
        <f>潜力评估!P30</f>
        <v/>
      </c>
      <c r="G30" s="3">
        <f>潜力评估!Q30</f>
        <v/>
      </c>
      <c r="H30" s="3">
        <f>IF(E30="高",IF(潜力评估!P30&gt;=4,"A1",IF(潜力评估!P30&gt;=2,"A2","A3")),IF(E30="中",IF(潜力评估!P30&gt;=4,"B1",IF(潜力评估!P30&gt;=2,"B2","B3")),IF(潜力评估!P30&gt;=4,"C1",IF(潜力评估!P30&gt;=2,"C2","C3"))))</f>
        <v/>
      </c>
      <c r="I30" s="3">
        <f>IF(AND(E30="高",G30="高"),"核心保留池",IF(AND(E30="中",G30="高"),"加速培养池",IF(AND(E30="高",G30="中"),"骨干稳定池",IF(AND(E30="高",G30="低"),"熟练执行池",IF(AND(E30="中",G30="中"),"观察待定池",IF(AND(E30="中",G30="低"),"降本优化池",IF(AND(E30="低",G30="高"),"特殊关注池","优化调整池")))))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xmlns:x14ac="http://schemas.microsoft.com/office/spreadsheetml/2009/9/ac" defaultRowHeight="15" x14ac:dyDescent="0.25"/>
  <cols>
    <col min="1" max="1" width="14" customWidth="1"/>
    <col min="2" max="2" width="12" customWidth="1"/>
    <col min="3" max="3" width="10" customWidth="1"/>
    <col min="4" max="4" width="8" customWidth="1"/>
    <col min="5" max="5" width="10" customWidth="1"/>
    <col min="6" max="6" width="10" customWidth="1"/>
    <col min="7" max="7" width="10" customWidth="1"/>
    <col min="8" max="8" width="42" customWidth="1"/>
  </cols>
  <sheetData>
    <row r="1">
      <c r="A1" t="s" s="4">
        <v>75</v>
      </c>
    </row>
    <row r="2">
      <c r="A2" t="s" s="0">
        <v>81</v>
      </c>
    </row>
    <row r="3">
      <c r="A3" t="s" s="4">
        <v>75</v>
      </c>
      <c r="B3" t="s" s="4">
        <v>39</v>
      </c>
      <c r="C3" t="s" s="4">
        <v>40</v>
      </c>
      <c r="D3" t="s" s="4">
        <v>42</v>
      </c>
      <c r="E3" t="s" s="4">
        <v>65</v>
      </c>
      <c r="F3" t="s" s="4">
        <v>66</v>
      </c>
      <c r="G3" t="s" s="4">
        <v>67</v>
      </c>
      <c r="H3" t="s" s="4">
        <v>76</v>
      </c>
    </row>
    <row r="4">
      <c r="A4" s="3">
        <f>九宫格汇总!I11</f>
        <v/>
      </c>
      <c r="B4" s="3">
        <f>九宫格汇总!A11</f>
        <v/>
      </c>
      <c r="C4" s="3">
        <f>九宫格汇总!B11</f>
        <v/>
      </c>
      <c r="D4" s="3">
        <f>九宫格汇总!C11</f>
        <v/>
      </c>
      <c r="E4" s="3">
        <f>九宫格汇总!E11</f>
        <v/>
      </c>
      <c r="F4" s="3">
        <f>九宫格汇总!G11</f>
        <v/>
      </c>
      <c r="G4" s="3">
        <f>九宫格汇总!H11</f>
        <v/>
      </c>
      <c r="H4" s="3">
        <f>IF(I11="核心保留池","重点激励、给予更大平台、优先考虑晋升",IF(I11="骨干稳定池","保持激励、参与重要项目、维持团队稳定",IF(I11="加速培养池","指定导师重点培养、给予挑战性任务、半年内跟进",IF(I11="熟练执行池","维持岗位、稳定留任，避免工作倦怠",IF(I11="观察待定池","观察1个周期，深入了解原因后决定下一步",IF(I11="降本优化池","换岗辅导或自然流失后优化编制",IF(I11="特殊关注池","深入了解原因，是态度还是能力问题","启动PIP或优化流程"))))))</f>
        <v/>
      </c>
    </row>
    <row r="5">
      <c r="A5" s="3">
        <f>九宫格汇总!I12</f>
        <v/>
      </c>
      <c r="B5" s="3">
        <f>九宫格汇总!A12</f>
        <v/>
      </c>
      <c r="C5" s="3">
        <f>九宫格汇总!B12</f>
        <v/>
      </c>
      <c r="D5" s="3">
        <f>九宫格汇总!C12</f>
        <v/>
      </c>
      <c r="E5" s="3">
        <f>九宫格汇总!E12</f>
        <v/>
      </c>
      <c r="F5" s="3">
        <f>九宫格汇总!G12</f>
        <v/>
      </c>
      <c r="G5" s="3">
        <f>九宫格汇总!H12</f>
        <v/>
      </c>
      <c r="H5" s="3">
        <f>IF(I12="核心保留池","重点激励、给予更大平台、优先考虑晋升",IF(I12="骨干稳定池","保持激励、参与重要项目、维持团队稳定",IF(I12="加速培养池","指定导师重点培养、给予挑战性任务、半年内跟进",IF(I12="熟练执行池","维持岗位、稳定留任，避免工作倦怠",IF(I12="观察待定池","观察1个周期，深入了解原因后决定下一步",IF(I12="降本优化池","换岗辅导或自然流失后优化编制",IF(I12="特殊关注池","深入了解原因，是态度还是能力问题","启动PIP或优化流程"))))))</f>
        <v/>
      </c>
    </row>
    <row r="6">
      <c r="A6" s="3">
        <f>九宫格汇总!I13</f>
        <v/>
      </c>
      <c r="B6" s="3">
        <f>九宫格汇总!A13</f>
        <v/>
      </c>
      <c r="C6" s="3">
        <f>九宫格汇总!B13</f>
        <v/>
      </c>
      <c r="D6" s="3">
        <f>九宫格汇总!C13</f>
        <v/>
      </c>
      <c r="E6" s="3">
        <f>九宫格汇总!E13</f>
        <v/>
      </c>
      <c r="F6" s="3">
        <f>九宫格汇总!G13</f>
        <v/>
      </c>
      <c r="G6" s="3">
        <f>九宫格汇总!H13</f>
        <v/>
      </c>
      <c r="H6" s="3">
        <f>IF(I13="核心保留池","重点激励、给予更大平台、优先考虑晋升",IF(I13="骨干稳定池","保持激励、参与重要项目、维持团队稳定",IF(I13="加速培养池","指定导师重点培养、给予挑战性任务、半年内跟进",IF(I13="熟练执行池","维持岗位、稳定留任，避免工作倦怠",IF(I13="观察待定池","观察1个周期，深入了解原因后决定下一步",IF(I13="降本优化池","换岗辅导或自然流失后优化编制",IF(I13="特殊关注池","深入了解原因，是态度还是能力问题","启动PIP或优化流程"))))))</f>
        <v/>
      </c>
    </row>
    <row r="7">
      <c r="A7" s="3">
        <f>九宫格汇总!I14</f>
        <v/>
      </c>
      <c r="B7" s="3">
        <f>九宫格汇总!A14</f>
        <v/>
      </c>
      <c r="C7" s="3">
        <f>九宫格汇总!B14</f>
        <v/>
      </c>
      <c r="D7" s="3">
        <f>九宫格汇总!C14</f>
        <v/>
      </c>
      <c r="E7" s="3">
        <f>九宫格汇总!E14</f>
        <v/>
      </c>
      <c r="F7" s="3">
        <f>九宫格汇总!G14</f>
        <v/>
      </c>
      <c r="G7" s="3">
        <f>九宫格汇总!H14</f>
        <v/>
      </c>
      <c r="H7" s="3">
        <f>IF(I14="核心保留池","重点激励、给予更大平台、优先考虑晋升",IF(I14="骨干稳定池","保持激励、参与重要项目、维持团队稳定",IF(I14="加速培养池","指定导师重点培养、给予挑战性任务、半年内跟进",IF(I14="熟练执行池","维持岗位、稳定留任，避免工作倦怠",IF(I14="观察待定池","观察1个周期，深入了解原因后决定下一步",IF(I14="降本优化池","换岗辅导或自然流失后优化编制",IF(I14="特殊关注池","深入了解原因，是态度还是能力问题","启动PIP或优化流程"))))))</f>
        <v/>
      </c>
    </row>
    <row r="8">
      <c r="A8" s="3">
        <f>九宫格汇总!I15</f>
        <v/>
      </c>
      <c r="B8" s="3">
        <f>九宫格汇总!A15</f>
        <v/>
      </c>
      <c r="C8" s="3">
        <f>九宫格汇总!B15</f>
        <v/>
      </c>
      <c r="D8" s="3">
        <f>九宫格汇总!C15</f>
        <v/>
      </c>
      <c r="E8" s="3">
        <f>九宫格汇总!E15</f>
        <v/>
      </c>
      <c r="F8" s="3">
        <f>九宫格汇总!G15</f>
        <v/>
      </c>
      <c r="G8" s="3">
        <f>九宫格汇总!H15</f>
        <v/>
      </c>
      <c r="H8" s="3">
        <f>IF(I15="核心保留池","重点激励、给予更大平台、优先考虑晋升",IF(I15="骨干稳定池","保持激励、参与重要项目、维持团队稳定",IF(I15="加速培养池","指定导师重点培养、给予挑战性任务、半年内跟进",IF(I15="熟练执行池","维持岗位、稳定留任，避免工作倦怠",IF(I15="观察待定池","观察1个周期，深入了解原因后决定下一步",IF(I15="降本优化池","换岗辅导或自然流失后优化编制",IF(I15="特殊关注池","深入了解原因，是态度还是能力问题","启动PIP或优化流程"))))))</f>
        <v/>
      </c>
    </row>
    <row r="9">
      <c r="A9" s="3">
        <f>九宫格汇总!I16</f>
        <v/>
      </c>
      <c r="B9" s="3">
        <f>九宫格汇总!A16</f>
        <v/>
      </c>
      <c r="C9" s="3">
        <f>九宫格汇总!B16</f>
        <v/>
      </c>
      <c r="D9" s="3">
        <f>九宫格汇总!C16</f>
        <v/>
      </c>
      <c r="E9" s="3">
        <f>九宫格汇总!E16</f>
        <v/>
      </c>
      <c r="F9" s="3">
        <f>九宫格汇总!G16</f>
        <v/>
      </c>
      <c r="G9" s="3">
        <f>九宫格汇总!H16</f>
        <v/>
      </c>
      <c r="H9" s="3">
        <f>IF(I16="核心保留池","重点激励、给予更大平台、优先考虑晋升",IF(I16="骨干稳定池","保持激励、参与重要项目、维持团队稳定",IF(I16="加速培养池","指定导师重点培养、给予挑战性任务、半年内跟进",IF(I16="熟练执行池","维持岗位、稳定留任，避免工作倦怠",IF(I16="观察待定池","观察1个周期，深入了解原因后决定下一步",IF(I16="降本优化池","换岗辅导或自然流失后优化编制",IF(I16="特殊关注池","深入了解原因，是态度还是能力问题","启动PIP或优化流程"))))))</f>
        <v/>
      </c>
    </row>
    <row r="10">
      <c r="A10" s="3">
        <f>九宫格汇总!I17</f>
        <v/>
      </c>
      <c r="B10" s="3">
        <f>九宫格汇总!A17</f>
        <v/>
      </c>
      <c r="C10" s="3">
        <f>九宫格汇总!B17</f>
        <v/>
      </c>
      <c r="D10" s="3">
        <f>九宫格汇总!C17</f>
        <v/>
      </c>
      <c r="E10" s="3">
        <f>九宫格汇总!E17</f>
        <v/>
      </c>
      <c r="F10" s="3">
        <f>九宫格汇总!G17</f>
        <v/>
      </c>
      <c r="G10" s="3">
        <f>九宫格汇总!H17</f>
        <v/>
      </c>
      <c r="H10" s="3">
        <f>IF(I17="核心保留池","重点激励、给予更大平台、优先考虑晋升",IF(I17="骨干稳定池","保持激励、参与重要项目、维持团队稳定",IF(I17="加速培养池","指定导师重点培养、给予挑战性任务、半年内跟进",IF(I17="熟练执行池","维持岗位、稳定留任，避免工作倦怠",IF(I17="观察待定池","观察1个周期，深入了解原因后决定下一步",IF(I17="降本优化池","换岗辅导或自然流失后优化编制",IF(I17="特殊关注池","深入了解原因，是态度还是能力问题","启动PIP或优化流程"))))))</f>
        <v/>
      </c>
    </row>
    <row r="11">
      <c r="A11" s="3">
        <f>九宫格汇总!I18</f>
        <v/>
      </c>
      <c r="B11" s="3">
        <f>九宫格汇总!A18</f>
        <v/>
      </c>
      <c r="C11" s="3">
        <f>九宫格汇总!B18</f>
        <v/>
      </c>
      <c r="D11" s="3">
        <f>九宫格汇总!C18</f>
        <v/>
      </c>
      <c r="E11" s="3">
        <f>九宫格汇总!E18</f>
        <v/>
      </c>
      <c r="F11" s="3">
        <f>九宫格汇总!G18</f>
        <v/>
      </c>
      <c r="G11" s="3">
        <f>九宫格汇总!H18</f>
        <v/>
      </c>
      <c r="H11" s="3">
        <f>IF(I18="核心保留池","重点激励、给予更大平台、优先考虑晋升",IF(I18="骨干稳定池","保持激励、参与重要项目、维持团队稳定",IF(I18="加速培养池","指定导师重点培养、给予挑战性任务、半年内跟进",IF(I18="熟练执行池","维持岗位、稳定留任，避免工作倦怠",IF(I18="观察待定池","观察1个周期，深入了解原因后决定下一步",IF(I18="降本优化池","换岗辅导或自然流失后优化编制",IF(I18="特殊关注池","深入了解原因，是态度还是能力问题","启动PIP或优化流程"))))))</f>
        <v/>
      </c>
    </row>
    <row r="12">
      <c r="A12" s="3">
        <f>九宫格汇总!I19</f>
        <v/>
      </c>
      <c r="B12" s="3">
        <f>九宫格汇总!A19</f>
        <v/>
      </c>
      <c r="C12" s="3">
        <f>九宫格汇总!B19</f>
        <v/>
      </c>
      <c r="D12" s="3">
        <f>九宫格汇总!C19</f>
        <v/>
      </c>
      <c r="E12" s="3">
        <f>九宫格汇总!E19</f>
        <v/>
      </c>
      <c r="F12" s="3">
        <f>九宫格汇总!G19</f>
        <v/>
      </c>
      <c r="G12" s="3">
        <f>九宫格汇总!H19</f>
        <v/>
      </c>
      <c r="H12" s="3">
        <f>IF(I19="核心保留池","重点激励、给予更大平台、优先考虑晋升",IF(I19="骨干稳定池","保持激励、参与重要项目、维持团队稳定",IF(I19="加速培养池","指定导师重点培养、给予挑战性任务、半年内跟进",IF(I19="熟练执行池","维持岗位、稳定留任，避免工作倦怠",IF(I19="观察待定池","观察1个周期，深入了解原因后决定下一步",IF(I19="降本优化池","换岗辅导或自然流失后优化编制",IF(I19="特殊关注池","深入了解原因，是态度还是能力问题","启动PIP或优化流程"))))))</f>
        <v/>
      </c>
    </row>
    <row r="13">
      <c r="A13" s="3">
        <f>九宫格汇总!I20</f>
        <v/>
      </c>
      <c r="B13" s="3">
        <f>九宫格汇总!A20</f>
        <v/>
      </c>
      <c r="C13" s="3">
        <f>九宫格汇总!B20</f>
        <v/>
      </c>
      <c r="D13" s="3">
        <f>九宫格汇总!C20</f>
        <v/>
      </c>
      <c r="E13" s="3">
        <f>九宫格汇总!E20</f>
        <v/>
      </c>
      <c r="F13" s="3">
        <f>九宫格汇总!G20</f>
        <v/>
      </c>
      <c r="G13" s="3">
        <f>九宫格汇总!H20</f>
        <v/>
      </c>
      <c r="H13" s="3">
        <f>IF(I20="核心保留池","重点激励、给予更大平台、优先考虑晋升",IF(I20="骨干稳定池","保持激励、参与重要项目、维持团队稳定",IF(I20="加速培养池","指定导师重点培养、给予挑战性任务、半年内跟进",IF(I20="熟练执行池","维持岗位、稳定留任，避免工作倦怠",IF(I20="观察待定池","观察1个周期，深入了解原因后决定下一步",IF(I20="降本优化池","换岗辅导或自然流失后优化编制",IF(I20="特殊关注池","深入了解原因，是态度还是能力问题","启动PIP或优化流程"))))))</f>
        <v/>
      </c>
    </row>
    <row r="14">
      <c r="A14" s="3">
        <f>九宫格汇总!I21</f>
        <v/>
      </c>
      <c r="B14" s="3">
        <f>九宫格汇总!A21</f>
        <v/>
      </c>
      <c r="C14" s="3">
        <f>九宫格汇总!B21</f>
        <v/>
      </c>
      <c r="D14" s="3">
        <f>九宫格汇总!C21</f>
        <v/>
      </c>
      <c r="E14" s="3">
        <f>九宫格汇总!E21</f>
        <v/>
      </c>
      <c r="F14" s="3">
        <f>九宫格汇总!G21</f>
        <v/>
      </c>
      <c r="G14" s="3">
        <f>九宫格汇总!H21</f>
        <v/>
      </c>
      <c r="H14" s="3">
        <f>IF(I21="核心保留池","重点激励、给予更大平台、优先考虑晋升",IF(I21="骨干稳定池","保持激励、参与重要项目、维持团队稳定",IF(I21="加速培养池","指定导师重点培养、给予挑战性任务、半年内跟进",IF(I21="熟练执行池","维持岗位、稳定留任，避免工作倦怠",IF(I21="观察待定池","观察1个周期，深入了解原因后决定下一步",IF(I21="降本优化池","换岗辅导或自然流失后优化编制",IF(I21="特殊关注池","深入了解原因，是态度还是能力问题","启动PIP或优化流程"))))))</f>
        <v/>
      </c>
    </row>
    <row r="15">
      <c r="A15" s="3">
        <f>九宫格汇总!I22</f>
        <v/>
      </c>
      <c r="B15" s="3">
        <f>九宫格汇总!A22</f>
        <v/>
      </c>
      <c r="C15" s="3">
        <f>九宫格汇总!B22</f>
        <v/>
      </c>
      <c r="D15" s="3">
        <f>九宫格汇总!C22</f>
        <v/>
      </c>
      <c r="E15" s="3">
        <f>九宫格汇总!E22</f>
        <v/>
      </c>
      <c r="F15" s="3">
        <f>九宫格汇总!G22</f>
        <v/>
      </c>
      <c r="G15" s="3">
        <f>九宫格汇总!H22</f>
        <v/>
      </c>
      <c r="H15" s="3">
        <f>IF(I22="核心保留池","重点激励、给予更大平台、优先考虑晋升",IF(I22="骨干稳定池","保持激励、参与重要项目、维持团队稳定",IF(I22="加速培养池","指定导师重点培养、给予挑战性任务、半年内跟进",IF(I22="熟练执行池","维持岗位、稳定留任，避免工作倦怠",IF(I22="观察待定池","观察1个周期，深入了解原因后决定下一步",IF(I22="降本优化池","换岗辅导或自然流失后优化编制",IF(I22="特殊关注池","深入了解原因，是态度还是能力问题","启动PIP或优化流程"))))))</f>
        <v/>
      </c>
    </row>
    <row r="16">
      <c r="A16" s="3">
        <f>九宫格汇总!I23</f>
        <v/>
      </c>
      <c r="B16" s="3">
        <f>九宫格汇总!A23</f>
        <v/>
      </c>
      <c r="C16" s="3">
        <f>九宫格汇总!B23</f>
        <v/>
      </c>
      <c r="D16" s="3">
        <f>九宫格汇总!C23</f>
        <v/>
      </c>
      <c r="E16" s="3">
        <f>九宫格汇总!E23</f>
        <v/>
      </c>
      <c r="F16" s="3">
        <f>九宫格汇总!G23</f>
        <v/>
      </c>
      <c r="G16" s="3">
        <f>九宫格汇总!H23</f>
        <v/>
      </c>
      <c r="H16" s="3">
        <f>IF(I23="核心保留池","重点激励、给予更大平台、优先考虑晋升",IF(I23="骨干稳定池","保持激励、参与重要项目、维持团队稳定",IF(I23="加速培养池","指定导师重点培养、给予挑战性任务、半年内跟进",IF(I23="熟练执行池","维持岗位、稳定留任，避免工作倦怠",IF(I23="观察待定池","观察1个周期，深入了解原因后决定下一步",IF(I23="降本优化池","换岗辅导或自然流失后优化编制",IF(I23="特殊关注池","深入了解原因，是态度还是能力问题","启动PIP或优化流程"))))))</f>
        <v/>
      </c>
    </row>
    <row r="17">
      <c r="A17" s="3">
        <f>九宫格汇总!I24</f>
        <v/>
      </c>
      <c r="B17" s="3">
        <f>九宫格汇总!A24</f>
        <v/>
      </c>
      <c r="C17" s="3">
        <f>九宫格汇总!B24</f>
        <v/>
      </c>
      <c r="D17" s="3">
        <f>九宫格汇总!C24</f>
        <v/>
      </c>
      <c r="E17" s="3">
        <f>九宫格汇总!E24</f>
        <v/>
      </c>
      <c r="F17" s="3">
        <f>九宫格汇总!G24</f>
        <v/>
      </c>
      <c r="G17" s="3">
        <f>九宫格汇总!H24</f>
        <v/>
      </c>
      <c r="H17" s="3">
        <f>IF(I24="核心保留池","重点激励、给予更大平台、优先考虑晋升",IF(I24="骨干稳定池","保持激励、参与重要项目、维持团队稳定",IF(I24="加速培养池","指定导师重点培养、给予挑战性任务、半年内跟进",IF(I24="熟练执行池","维持岗位、稳定留任，避免工作倦怠",IF(I24="观察待定池","观察1个周期，深入了解原因后决定下一步",IF(I24="降本优化池","换岗辅导或自然流失后优化编制",IF(I24="特殊关注池","深入了解原因，是态度还是能力问题","启动PIP或优化流程"))))))</f>
        <v/>
      </c>
    </row>
    <row r="18">
      <c r="A18" s="3">
        <f>九宫格汇总!I25</f>
        <v/>
      </c>
      <c r="B18" s="3">
        <f>九宫格汇总!A25</f>
        <v/>
      </c>
      <c r="C18" s="3">
        <f>九宫格汇总!B25</f>
        <v/>
      </c>
      <c r="D18" s="3">
        <f>九宫格汇总!C25</f>
        <v/>
      </c>
      <c r="E18" s="3">
        <f>九宫格汇总!E25</f>
        <v/>
      </c>
      <c r="F18" s="3">
        <f>九宫格汇总!G25</f>
        <v/>
      </c>
      <c r="G18" s="3">
        <f>九宫格汇总!H25</f>
        <v/>
      </c>
      <c r="H18" s="3">
        <f>IF(I25="核心保留池","重点激励、给予更大平台、优先考虑晋升",IF(I25="骨干稳定池","保持激励、参与重要项目、维持团队稳定",IF(I25="加速培养池","指定导师重点培养、给予挑战性任务、半年内跟进",IF(I25="熟练执行池","维持岗位、稳定留任，避免工作倦怠",IF(I25="观察待定池","观察1个周期，深入了解原因后决定下一步",IF(I25="降本优化池","换岗辅导或自然流失后优化编制",IF(I25="特殊关注池","深入了解原因，是态度还是能力问题","启动PIP或优化流程"))))))</f>
        <v/>
      </c>
    </row>
    <row r="19">
      <c r="A19" s="3">
        <f>九宫格汇总!I26</f>
        <v/>
      </c>
      <c r="B19" s="3">
        <f>九宫格汇总!A26</f>
        <v/>
      </c>
      <c r="C19" s="3">
        <f>九宫格汇总!B26</f>
        <v/>
      </c>
      <c r="D19" s="3">
        <f>九宫格汇总!C26</f>
        <v/>
      </c>
      <c r="E19" s="3">
        <f>九宫格汇总!E26</f>
        <v/>
      </c>
      <c r="F19" s="3">
        <f>九宫格汇总!G26</f>
        <v/>
      </c>
      <c r="G19" s="3">
        <f>九宫格汇总!H26</f>
        <v/>
      </c>
      <c r="H19" s="3">
        <f>IF(I26="核心保留池","重点激励、给予更大平台、优先考虑晋升",IF(I26="骨干稳定池","保持激励、参与重要项目、维持团队稳定",IF(I26="加速培养池","指定导师重点培养、给予挑战性任务、半年内跟进",IF(I26="熟练执行池","维持岗位、稳定留任，避免工作倦怠",IF(I26="观察待定池","观察1个周期，深入了解原因后决定下一步",IF(I26="降本优化池","换岗辅导或自然流失后优化编制",IF(I26="特殊关注池","深入了解原因，是态度还是能力问题","启动PIP或优化流程"))))))</f>
        <v/>
      </c>
    </row>
    <row r="20">
      <c r="A20" s="3">
        <f>九宫格汇总!I27</f>
        <v/>
      </c>
      <c r="B20" s="3">
        <f>九宫格汇总!A27</f>
        <v/>
      </c>
      <c r="C20" s="3">
        <f>九宫格汇总!B27</f>
        <v/>
      </c>
      <c r="D20" s="3">
        <f>九宫格汇总!C27</f>
        <v/>
      </c>
      <c r="E20" s="3">
        <f>九宫格汇总!E27</f>
        <v/>
      </c>
      <c r="F20" s="3">
        <f>九宫格汇总!G27</f>
        <v/>
      </c>
      <c r="G20" s="3">
        <f>九宫格汇总!H27</f>
        <v/>
      </c>
      <c r="H20" s="3">
        <f>IF(I27="核心保留池","重点激励、给予更大平台、优先考虑晋升",IF(I27="骨干稳定池","保持激励、参与重要项目、维持团队稳定",IF(I27="加速培养池","指定导师重点培养、给予挑战性任务、半年内跟进",IF(I27="熟练执行池","维持岗位、稳定留任，避免工作倦怠",IF(I27="观察待定池","观察1个周期，深入了解原因后决定下一步",IF(I27="降本优化池","换岗辅导或自然流失后优化编制",IF(I27="特殊关注池","深入了解原因，是态度还是能力问题","启动PIP或优化流程"))))))</f>
        <v/>
      </c>
    </row>
    <row r="21">
      <c r="A21" s="3">
        <f>九宫格汇总!I28</f>
        <v/>
      </c>
      <c r="B21" s="3">
        <f>九宫格汇总!A28</f>
        <v/>
      </c>
      <c r="C21" s="3">
        <f>九宫格汇总!B28</f>
        <v/>
      </c>
      <c r="D21" s="3">
        <f>九宫格汇总!C28</f>
        <v/>
      </c>
      <c r="E21" s="3">
        <f>九宫格汇总!E28</f>
        <v/>
      </c>
      <c r="F21" s="3">
        <f>九宫格汇总!G28</f>
        <v/>
      </c>
      <c r="G21" s="3">
        <f>九宫格汇总!H28</f>
        <v/>
      </c>
      <c r="H21" s="3">
        <f>IF(I28="核心保留池","重点激励、给予更大平台、优先考虑晋升",IF(I28="骨干稳定池","保持激励、参与重要项目、维持团队稳定",IF(I28="加速培养池","指定导师重点培养、给予挑战性任务、半年内跟进",IF(I28="熟练执行池","维持岗位、稳定留任，避免工作倦怠",IF(I28="观察待定池","观察1个周期，深入了解原因后决定下一步",IF(I28="降本优化池","换岗辅导或自然流失后优化编制",IF(I28="特殊关注池","深入了解原因，是态度还是能力问题","启动PIP或优化流程"))))))</f>
        <v/>
      </c>
    </row>
    <row r="22">
      <c r="A22" s="3">
        <f>九宫格汇总!I29</f>
        <v/>
      </c>
      <c r="B22" s="3">
        <f>九宫格汇总!A29</f>
        <v/>
      </c>
      <c r="C22" s="3">
        <f>九宫格汇总!B29</f>
        <v/>
      </c>
      <c r="D22" s="3">
        <f>九宫格汇总!C29</f>
        <v/>
      </c>
      <c r="E22" s="3">
        <f>九宫格汇总!E29</f>
        <v/>
      </c>
      <c r="F22" s="3">
        <f>九宫格汇总!G29</f>
        <v/>
      </c>
      <c r="G22" s="3">
        <f>九宫格汇总!H29</f>
        <v/>
      </c>
      <c r="H22" s="3">
        <f>IF(I29="核心保留池","重点激励、给予更大平台、优先考虑晋升",IF(I29="骨干稳定池","保持激励、参与重要项目、维持团队稳定",IF(I29="加速培养池","指定导师重点培养、给予挑战性任务、半年内跟进",IF(I29="熟练执行池","维持岗位、稳定留任，避免工作倦怠",IF(I29="观察待定池","观察1个周期，深入了解原因后决定下一步",IF(I29="降本优化池","换岗辅导或自然流失后优化编制",IF(I29="特殊关注池","深入了解原因，是态度还是能力问题","启动PIP或优化流程"))))))</f>
        <v/>
      </c>
    </row>
    <row r="23">
      <c r="A23" s="3">
        <f>九宫格汇总!I30</f>
        <v/>
      </c>
      <c r="B23" s="3">
        <f>九宫格汇总!A30</f>
        <v/>
      </c>
      <c r="C23" s="3">
        <f>九宫格汇总!B30</f>
        <v/>
      </c>
      <c r="D23" s="3">
        <f>九宫格汇总!C30</f>
        <v/>
      </c>
      <c r="E23" s="3">
        <f>九宫格汇总!E30</f>
        <v/>
      </c>
      <c r="F23" s="3">
        <f>九宫格汇总!G30</f>
        <v/>
      </c>
      <c r="G23" s="3">
        <f>九宫格汇总!H30</f>
        <v/>
      </c>
      <c r="H23" s="3">
        <f>IF(I30="核心保留池","重点激励、给予更大平台、优先考虑晋升",IF(I30="骨干稳定池","保持激励、参与重要项目、维持团队稳定",IF(I30="加速培养池","指定导师重点培养、给予挑战性任务、半年内跟进",IF(I30="熟练执行池","维持岗位、稳定留任，避免工作倦怠",IF(I30="观察待定池","观察1个周期，深入了解原因后决定下一步",IF(I30="降本优化池","换岗辅导或自然流失后优化编制",IF(I30="特殊关注池","深入了解原因，是态度还是能力问题","启动PIP或优化流程"))))))</f>
        <v/>
      </c>
    </row>
    <row r="24">
  </row>
    <row r="25">
      <c r="A25" t="s" s="4">
        <v>77</v>
      </c>
    </row>
    <row r="26">
      <c r="A26" t="s" s="1">
        <v>核心保留池</v>
      </c>
      <c r="B26" s="2">
        <f>COUNTIF($A$4:$A$23,A26)</f>
        <v/>
      </c>
    </row>
    <row r="27">
      <c r="A27" t="s" s="1">
        <v>骨干稳定池</v>
      </c>
      <c r="B27" s="2">
        <f>COUNTIF($A$4:$A$23,A27)</f>
        <v/>
      </c>
    </row>
    <row r="28">
      <c r="A28" t="s" s="1">
        <v>加速培养池</v>
      </c>
      <c r="B28" s="2">
        <f>COUNTIF($A$4:$A$23,A28)</f>
        <v/>
      </c>
    </row>
    <row r="29">
      <c r="A29" t="s" s="1">
        <v>熟练执行池</v>
      </c>
      <c r="B29" s="2">
        <f>COUNTIF($A$4:$A$23,A29)</f>
        <v/>
      </c>
    </row>
    <row r="30">
      <c r="A30" t="s" s="1">
        <v>观察待定池</v>
      </c>
      <c r="B30" s="2">
        <f>COUNTIF($A$4:$A$23,A30)</f>
        <v/>
      </c>
    </row>
    <row r="31">
      <c r="A31" t="s" s="1">
        <v>降本优化池</v>
      </c>
      <c r="B31" s="2">
        <f>COUNTIF($A$4:$A$23,A31)</f>
        <v/>
      </c>
    </row>
    <row r="32">
      <c r="A32" t="s" s="1">
        <v>特殊关注池</v>
      </c>
      <c r="B32" s="2">
        <f>COUNTIF($A$4:$A$23,A32)</f>
        <v/>
      </c>
    </row>
    <row r="33">
      <c r="A33" t="s" s="1">
        <v>优化调整池</v>
      </c>
      <c r="B33" s="2">
        <f>COUNTIF($A$4:$A$23,A33)</f>
        <v/>
      </c>
    </row>
  </sheetData>
  <pageMargins left="0.7" right="0.7" top="0.75" bottom="0.75" header="0.3" footer="0.3"/>
</worksheet>
</file>